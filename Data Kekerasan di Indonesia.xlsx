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253e508fc54d40/Documents/TUGAS AKHIR/"/>
    </mc:Choice>
  </mc:AlternateContent>
  <xr:revisionPtr revIDLastSave="31" documentId="13_ncr:1_{02A806BE-9608-4B2D-9233-1B73A777ECA7}" xr6:coauthVersionLast="47" xr6:coauthVersionMax="47" xr10:uidLastSave="{85B94525-EBCF-4DA1-8226-BE72D0D2D33A}"/>
  <bookViews>
    <workbookView xWindow="-120" yWindow="-120" windowWidth="20730" windowHeight="11160" xr2:uid="{E116C951-B447-456B-994C-18625BD13B08}"/>
  </bookViews>
  <sheets>
    <sheet name="2021" sheetId="5" r:id="rId1"/>
    <sheet name="2022" sheetId="4" r:id="rId2"/>
    <sheet name="2023" sheetId="3" r:id="rId3"/>
    <sheet name="2024" sheetId="2" r:id="rId4"/>
    <sheet name="2025" sheetId="1" r:id="rId5"/>
    <sheet name="Integrasi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6" l="1"/>
  <c r="D8" i="6"/>
  <c r="E8" i="6"/>
  <c r="F8" i="6"/>
  <c r="G8" i="6"/>
  <c r="H8" i="6"/>
  <c r="I8" i="6"/>
  <c r="C9" i="6"/>
  <c r="D9" i="6"/>
  <c r="E9" i="6"/>
  <c r="F9" i="6"/>
  <c r="G9" i="6"/>
  <c r="H9" i="6"/>
  <c r="I9" i="6"/>
  <c r="C10" i="6"/>
  <c r="D10" i="6"/>
  <c r="E10" i="6"/>
  <c r="F10" i="6"/>
  <c r="G10" i="6"/>
  <c r="H10" i="6"/>
  <c r="I10" i="6"/>
  <c r="C11" i="6"/>
  <c r="D11" i="6"/>
  <c r="E11" i="6"/>
  <c r="F11" i="6"/>
  <c r="G11" i="6"/>
  <c r="H11" i="6"/>
  <c r="I11" i="6"/>
  <c r="C3" i="6"/>
  <c r="D3" i="6"/>
  <c r="E3" i="6"/>
  <c r="F3" i="6"/>
  <c r="G3" i="6"/>
  <c r="H3" i="6"/>
  <c r="I3" i="6"/>
  <c r="C4" i="6"/>
  <c r="D4" i="6"/>
  <c r="E4" i="6"/>
  <c r="F4" i="6"/>
  <c r="G4" i="6"/>
  <c r="H4" i="6"/>
  <c r="I4" i="6"/>
  <c r="C5" i="6"/>
  <c r="D5" i="6"/>
  <c r="E5" i="6"/>
  <c r="F5" i="6"/>
  <c r="G5" i="6"/>
  <c r="H5" i="6"/>
  <c r="I5" i="6"/>
  <c r="C6" i="6"/>
  <c r="D6" i="6"/>
  <c r="E6" i="6"/>
  <c r="F6" i="6"/>
  <c r="G6" i="6"/>
  <c r="H6" i="6"/>
  <c r="I6" i="6"/>
  <c r="C7" i="6"/>
  <c r="D7" i="6"/>
  <c r="E7" i="6"/>
  <c r="F7" i="6"/>
  <c r="G7" i="6"/>
  <c r="H7" i="6"/>
  <c r="I7" i="6"/>
  <c r="C12" i="6"/>
  <c r="D12" i="6"/>
  <c r="E12" i="6"/>
  <c r="F12" i="6"/>
  <c r="G12" i="6"/>
  <c r="H12" i="6"/>
  <c r="I12" i="6"/>
  <c r="C13" i="6"/>
  <c r="D13" i="6"/>
  <c r="E13" i="6"/>
  <c r="F13" i="6"/>
  <c r="G13" i="6"/>
  <c r="H13" i="6"/>
  <c r="I13" i="6"/>
  <c r="C14" i="6"/>
  <c r="D14" i="6"/>
  <c r="E14" i="6"/>
  <c r="F14" i="6"/>
  <c r="G14" i="6"/>
  <c r="H14" i="6"/>
  <c r="I14" i="6"/>
  <c r="C15" i="6"/>
  <c r="D15" i="6"/>
  <c r="E15" i="6"/>
  <c r="F15" i="6"/>
  <c r="G15" i="6"/>
  <c r="H15" i="6"/>
  <c r="I15" i="6"/>
  <c r="C16" i="6"/>
  <c r="D16" i="6"/>
  <c r="E16" i="6"/>
  <c r="F16" i="6"/>
  <c r="G16" i="6"/>
  <c r="H16" i="6"/>
  <c r="I16" i="6"/>
  <c r="C17" i="6"/>
  <c r="D17" i="6"/>
  <c r="E17" i="6"/>
  <c r="F17" i="6"/>
  <c r="G17" i="6"/>
  <c r="H17" i="6"/>
  <c r="I17" i="6"/>
  <c r="C18" i="6"/>
  <c r="D18" i="6"/>
  <c r="E18" i="6"/>
  <c r="F18" i="6"/>
  <c r="G18" i="6"/>
  <c r="H18" i="6"/>
  <c r="I18" i="6"/>
  <c r="C19" i="6"/>
  <c r="D19" i="6"/>
  <c r="E19" i="6"/>
  <c r="F19" i="6"/>
  <c r="G19" i="6"/>
  <c r="H19" i="6"/>
  <c r="I19" i="6"/>
  <c r="C20" i="6"/>
  <c r="D20" i="6"/>
  <c r="E20" i="6"/>
  <c r="F20" i="6"/>
  <c r="G20" i="6"/>
  <c r="H20" i="6"/>
  <c r="I20" i="6"/>
  <c r="C21" i="6"/>
  <c r="D21" i="6"/>
  <c r="E21" i="6"/>
  <c r="F21" i="6"/>
  <c r="G21" i="6"/>
  <c r="H21" i="6"/>
  <c r="I21" i="6"/>
  <c r="C22" i="6"/>
  <c r="D22" i="6"/>
  <c r="E22" i="6"/>
  <c r="F22" i="6"/>
  <c r="G22" i="6"/>
  <c r="H22" i="6"/>
  <c r="I22" i="6"/>
  <c r="C23" i="6"/>
  <c r="D23" i="6"/>
  <c r="E23" i="6"/>
  <c r="F23" i="6"/>
  <c r="G23" i="6"/>
  <c r="H23" i="6"/>
  <c r="I23" i="6"/>
  <c r="C24" i="6"/>
  <c r="D24" i="6"/>
  <c r="E24" i="6"/>
  <c r="F24" i="6"/>
  <c r="G24" i="6"/>
  <c r="H24" i="6"/>
  <c r="I24" i="6"/>
  <c r="C25" i="6"/>
  <c r="D25" i="6"/>
  <c r="E25" i="6"/>
  <c r="F25" i="6"/>
  <c r="G25" i="6"/>
  <c r="H25" i="6"/>
  <c r="I25" i="6"/>
  <c r="C26" i="6"/>
  <c r="D26" i="6"/>
  <c r="E26" i="6"/>
  <c r="F26" i="6"/>
  <c r="G26" i="6"/>
  <c r="H26" i="6"/>
  <c r="I26" i="6"/>
  <c r="C27" i="6"/>
  <c r="D27" i="6"/>
  <c r="E27" i="6"/>
  <c r="F27" i="6"/>
  <c r="G27" i="6"/>
  <c r="H27" i="6"/>
  <c r="I27" i="6"/>
  <c r="C28" i="6"/>
  <c r="D28" i="6"/>
  <c r="E28" i="6"/>
  <c r="F28" i="6"/>
  <c r="G28" i="6"/>
  <c r="H28" i="6"/>
  <c r="I28" i="6"/>
  <c r="C29" i="6"/>
  <c r="D29" i="6"/>
  <c r="E29" i="6"/>
  <c r="F29" i="6"/>
  <c r="G29" i="6"/>
  <c r="H29" i="6"/>
  <c r="I29" i="6"/>
  <c r="C30" i="6"/>
  <c r="D30" i="6"/>
  <c r="E30" i="6"/>
  <c r="F30" i="6"/>
  <c r="G30" i="6"/>
  <c r="H30" i="6"/>
  <c r="I30" i="6"/>
  <c r="C31" i="6"/>
  <c r="D31" i="6"/>
  <c r="E31" i="6"/>
  <c r="F31" i="6"/>
  <c r="G31" i="6"/>
  <c r="H31" i="6"/>
  <c r="I31" i="6"/>
  <c r="C32" i="6"/>
  <c r="D32" i="6"/>
  <c r="E32" i="6"/>
  <c r="F32" i="6"/>
  <c r="G32" i="6"/>
  <c r="H32" i="6"/>
  <c r="I32" i="6"/>
  <c r="C33" i="6"/>
  <c r="D33" i="6"/>
  <c r="E33" i="6"/>
  <c r="F33" i="6"/>
  <c r="G33" i="6"/>
  <c r="H33" i="6"/>
  <c r="I33" i="6"/>
  <c r="C34" i="6"/>
  <c r="D34" i="6"/>
  <c r="E34" i="6"/>
  <c r="F34" i="6"/>
  <c r="G34" i="6"/>
  <c r="H34" i="6"/>
  <c r="I34" i="6"/>
  <c r="C35" i="6"/>
  <c r="D35" i="6"/>
  <c r="E35" i="6"/>
  <c r="F35" i="6"/>
  <c r="G35" i="6"/>
  <c r="H35" i="6"/>
  <c r="I35" i="6"/>
  <c r="C36" i="6"/>
  <c r="D36" i="6"/>
  <c r="E36" i="6"/>
  <c r="F36" i="6"/>
  <c r="G36" i="6"/>
  <c r="H36" i="6"/>
  <c r="I36" i="6"/>
  <c r="C37" i="6"/>
  <c r="D37" i="6"/>
  <c r="E37" i="6"/>
  <c r="F37" i="6"/>
  <c r="G37" i="6"/>
  <c r="H37" i="6"/>
  <c r="I37" i="6"/>
  <c r="C38" i="6"/>
  <c r="D38" i="6"/>
  <c r="E38" i="6"/>
  <c r="F38" i="6"/>
  <c r="G38" i="6"/>
  <c r="H38" i="6"/>
  <c r="I38" i="6"/>
  <c r="C39" i="6"/>
  <c r="D39" i="6"/>
  <c r="E39" i="6"/>
  <c r="F39" i="6"/>
  <c r="G39" i="6"/>
  <c r="H39" i="6"/>
  <c r="I39" i="6"/>
  <c r="D2" i="6"/>
  <c r="E2" i="6"/>
  <c r="F2" i="6"/>
  <c r="G2" i="6"/>
  <c r="H2" i="6"/>
  <c r="I2" i="6"/>
  <c r="C2" i="6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7" i="1"/>
  <c r="J3" i="1"/>
  <c r="J4" i="1"/>
  <c r="J5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</calcChain>
</file>

<file path=xl/sharedStrings.xml><?xml version="1.0" encoding="utf-8"?>
<sst xmlns="http://schemas.openxmlformats.org/spreadsheetml/2006/main" count="326" uniqueCount="52">
  <si>
    <t>No</t>
  </si>
  <si>
    <t>Provinsi</t>
  </si>
  <si>
    <t>Fisik</t>
  </si>
  <si>
    <t>Psikis</t>
  </si>
  <si>
    <t>Seksual</t>
  </si>
  <si>
    <t>Eksploitasi</t>
  </si>
  <si>
    <t>TPPO</t>
  </si>
  <si>
    <t>Penelantaran</t>
  </si>
  <si>
    <t>Lainnya</t>
  </si>
  <si>
    <t>Aceh</t>
  </si>
  <si>
    <t>Sumatera Utara</t>
  </si>
  <si>
    <t>Sumatera Barat</t>
  </si>
  <si>
    <t>Riau</t>
  </si>
  <si>
    <t>Kepulauan Riau</t>
  </si>
  <si>
    <t>Jambi</t>
  </si>
  <si>
    <t>Bengkulu</t>
  </si>
  <si>
    <t>Sumatera Selatan</t>
  </si>
  <si>
    <t>Lampung</t>
  </si>
  <si>
    <t>Kepulauan Bangka</t>
  </si>
  <si>
    <t>Banten</t>
  </si>
  <si>
    <t>Jakarta</t>
  </si>
  <si>
    <t>Jawa Barat</t>
  </si>
  <si>
    <t>Jawa Tengah</t>
  </si>
  <si>
    <t>Jawa Timur</t>
  </si>
  <si>
    <t>Yogyakarta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</si>
  <si>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</si>
  <si>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</si>
  <si>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</si>
  <si>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</si>
  <si>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</si>
  <si>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</si>
  <si>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Utara</t>
  </si>
  <si>
    <t>Kalimantan Timur</t>
  </si>
  <si>
    <t>Sulawesi Selatan</t>
  </si>
  <si>
    <t>Sulawesi Barat</t>
  </si>
  <si>
    <t>Sulawesi Tengah</t>
  </si>
  <si>
    <t>Gorontalo</t>
  </si>
  <si>
    <t>Sulawesi Utara</t>
  </si>
  <si>
    <t>Sulawesi Tenggara</t>
  </si>
  <si>
    <t>Maluku Utara</t>
  </si>
  <si>
    <t xml:space="preserve">Maluku </t>
  </si>
  <si>
    <t>Papua Barat</t>
  </si>
  <si>
    <t>Papua Barat Daya</t>
  </si>
  <si>
    <t>Papua Tengah</t>
  </si>
  <si>
    <t>Papua</t>
  </si>
  <si>
    <t>Papua Pegunungan</t>
  </si>
  <si>
    <t>Papua Selatan</t>
  </si>
  <si>
    <t>C1</t>
  </si>
  <si>
    <t>C2</t>
  </si>
  <si>
    <t>C3</t>
  </si>
  <si>
    <t>Cluster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</si>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</sst>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9E26-94AB-4525-9E5F-00BD85DBBBDD}">
  <dimension ref="A1:J39"/>
  <sheetViews>
    <sheetView tabSelected="1" workbookViewId="0">
      <selection activeCell="B1" sqref="B1"/>
    </sheetView>
  </sheetViews>
  <sheetFormatPr defaultRowHeight="15" x14ac:dyDescent="0.25"/>
  <cols>
    <col min="1" max="1" width="3.85546875" bestFit="1" customWidth="1"/>
    <col min="2" max="2" width="20" bestFit="1" customWidth="1"/>
    <col min="3" max="3" width="5.7109375" bestFit="1" customWidth="1"/>
    <col min="4" max="4" width="6.7109375" bestFit="1" customWidth="1"/>
    <col min="5" max="5" width="8.5703125" bestFit="1" customWidth="1"/>
    <col min="6" max="6" width="11.5703125" bestFit="1" customWidth="1"/>
    <col min="7" max="7" width="6.7109375" bestFit="1" customWidth="1"/>
    <col min="8" max="8" width="13.7109375" bestFit="1" customWidth="1"/>
    <col min="9" max="9" width="8.71093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</row>
    <row r="2" spans="1:10" ht="15.75" x14ac:dyDescent="0.25">
      <c r="A2" s="2">
        <v>1</v>
      </c>
      <c r="B2" s="3" t="s">
        <v>9</v>
      </c>
      <c r="C2" s="2">
        <v>251</v>
      </c>
      <c r="D2" s="2">
        <v>381</v>
      </c>
      <c r="E2" s="2">
        <v>237</v>
      </c>
      <c r="F2" s="2">
        <v>9</v>
      </c>
      <c r="G2" s="2">
        <v>2</v>
      </c>
      <c r="H2" s="2">
        <v>177</v>
      </c>
      <c r="I2" s="2">
        <v>122</v>
      </c>
      <c r="J2" s="5">
        <f>SUM(C2:I2)</f>
        <v>1179</v>
      </c>
    </row>
    <row r="3" spans="1:10" ht="15.75" x14ac:dyDescent="0.25">
      <c r="A3" s="2">
        <v>2</v>
      </c>
      <c r="B3" s="3" t="s">
        <v>10</v>
      </c>
      <c r="C3" s="2">
        <v>501</v>
      </c>
      <c r="D3" s="2">
        <v>321</v>
      </c>
      <c r="E3" s="2">
        <v>641</v>
      </c>
      <c r="F3" s="2">
        <v>15</v>
      </c>
      <c r="G3" s="2">
        <v>6</v>
      </c>
      <c r="H3" s="2">
        <v>154</v>
      </c>
      <c r="I3" s="2">
        <v>139</v>
      </c>
      <c r="J3" s="5">
        <f t="shared" ref="J3:J39" si="0">SUM(C3:I3)</f>
        <v>1777</v>
      </c>
    </row>
    <row r="4" spans="1:10" ht="15.75" x14ac:dyDescent="0.25">
      <c r="A4" s="2">
        <v>3</v>
      </c>
      <c r="B4" s="3" t="s">
        <v>11</v>
      </c>
      <c r="C4" s="2">
        <v>221</v>
      </c>
      <c r="D4" s="2">
        <v>124</v>
      </c>
      <c r="E4" s="2">
        <v>402</v>
      </c>
      <c r="F4" s="2">
        <v>7</v>
      </c>
      <c r="G4" s="2">
        <v>1</v>
      </c>
      <c r="H4" s="2">
        <v>71</v>
      </c>
      <c r="I4" s="2">
        <v>127</v>
      </c>
      <c r="J4" s="5">
        <f t="shared" si="0"/>
        <v>953</v>
      </c>
    </row>
    <row r="5" spans="1:10" ht="15.75" x14ac:dyDescent="0.25">
      <c r="A5" s="2">
        <v>4</v>
      </c>
      <c r="B5" s="3" t="s">
        <v>12</v>
      </c>
      <c r="C5" s="2">
        <v>132</v>
      </c>
      <c r="D5" s="2">
        <v>164</v>
      </c>
      <c r="E5" s="2">
        <v>373</v>
      </c>
      <c r="F5" s="2">
        <v>4</v>
      </c>
      <c r="G5" s="2">
        <v>7</v>
      </c>
      <c r="H5" s="2">
        <v>58</v>
      </c>
      <c r="I5" s="2">
        <v>203</v>
      </c>
      <c r="J5" s="5">
        <f t="shared" si="0"/>
        <v>941</v>
      </c>
    </row>
    <row r="6" spans="1:10" ht="15.75" x14ac:dyDescent="0.25">
      <c r="A6" s="2">
        <v>5</v>
      </c>
      <c r="B6" s="3" t="s">
        <v>13</v>
      </c>
      <c r="C6" s="2">
        <v>144</v>
      </c>
      <c r="D6" s="2">
        <v>156</v>
      </c>
      <c r="E6" s="2">
        <v>202</v>
      </c>
      <c r="F6" s="2">
        <v>4</v>
      </c>
      <c r="G6" s="2">
        <v>12</v>
      </c>
      <c r="H6" s="2">
        <v>38</v>
      </c>
      <c r="I6" s="2">
        <v>50</v>
      </c>
      <c r="J6" s="5">
        <f t="shared" si="0"/>
        <v>606</v>
      </c>
    </row>
    <row r="7" spans="1:10" ht="15.75" x14ac:dyDescent="0.25">
      <c r="A7" s="2">
        <v>6</v>
      </c>
      <c r="B7" s="3" t="s">
        <v>14</v>
      </c>
      <c r="C7" s="2">
        <v>153</v>
      </c>
      <c r="D7" s="2">
        <v>99</v>
      </c>
      <c r="E7" s="2">
        <v>187</v>
      </c>
      <c r="F7" s="2">
        <v>3</v>
      </c>
      <c r="G7" s="2">
        <v>4</v>
      </c>
      <c r="H7" s="2">
        <v>27</v>
      </c>
      <c r="I7" s="2">
        <v>15</v>
      </c>
      <c r="J7" s="5">
        <f>SUM(C7:I7)</f>
        <v>488</v>
      </c>
    </row>
    <row r="8" spans="1:10" ht="15.75" x14ac:dyDescent="0.25">
      <c r="A8" s="2">
        <v>7</v>
      </c>
      <c r="B8" s="3" t="s">
        <v>15</v>
      </c>
      <c r="C8" s="2">
        <v>40</v>
      </c>
      <c r="D8" s="2">
        <v>74</v>
      </c>
      <c r="E8" s="2">
        <v>115</v>
      </c>
      <c r="F8" s="2">
        <v>1</v>
      </c>
      <c r="G8" s="2">
        <v>1</v>
      </c>
      <c r="H8" s="2">
        <v>8</v>
      </c>
      <c r="I8" s="2">
        <v>17</v>
      </c>
      <c r="J8" s="5">
        <f t="shared" si="0"/>
        <v>256</v>
      </c>
    </row>
    <row r="9" spans="1:10" ht="15.75" x14ac:dyDescent="0.25">
      <c r="A9" s="2">
        <v>8</v>
      </c>
      <c r="B9" s="3" t="s">
        <v>16</v>
      </c>
      <c r="C9" s="2">
        <v>232</v>
      </c>
      <c r="D9" s="2">
        <v>149</v>
      </c>
      <c r="E9" s="2">
        <v>195</v>
      </c>
      <c r="F9" s="2">
        <v>9</v>
      </c>
      <c r="G9" s="2">
        <v>2</v>
      </c>
      <c r="H9" s="2">
        <v>51</v>
      </c>
      <c r="I9" s="2">
        <v>35</v>
      </c>
      <c r="J9" s="5">
        <f t="shared" si="0"/>
        <v>673</v>
      </c>
    </row>
    <row r="10" spans="1:10" ht="15.75" x14ac:dyDescent="0.25">
      <c r="A10" s="2">
        <v>9</v>
      </c>
      <c r="B10" s="3" t="s">
        <v>17</v>
      </c>
      <c r="C10" s="2">
        <v>224</v>
      </c>
      <c r="D10" s="2">
        <v>215</v>
      </c>
      <c r="E10" s="2">
        <v>451</v>
      </c>
      <c r="F10" s="2">
        <v>6</v>
      </c>
      <c r="G10" s="2">
        <v>15</v>
      </c>
      <c r="H10" s="2">
        <v>20</v>
      </c>
      <c r="I10" s="2">
        <v>57</v>
      </c>
      <c r="J10" s="5">
        <f t="shared" si="0"/>
        <v>988</v>
      </c>
    </row>
    <row r="11" spans="1:10" ht="15.75" x14ac:dyDescent="0.25">
      <c r="A11" s="2">
        <v>10</v>
      </c>
      <c r="B11" s="3" t="s">
        <v>18</v>
      </c>
      <c r="C11" s="2">
        <v>85</v>
      </c>
      <c r="D11" s="2">
        <v>72</v>
      </c>
      <c r="E11" s="2">
        <v>72</v>
      </c>
      <c r="F11" s="2">
        <v>1</v>
      </c>
      <c r="G11" s="2">
        <v>5</v>
      </c>
      <c r="H11" s="2">
        <v>16</v>
      </c>
      <c r="I11" s="2">
        <v>16</v>
      </c>
      <c r="J11" s="5">
        <f t="shared" si="0"/>
        <v>267</v>
      </c>
    </row>
    <row r="12" spans="1:10" ht="15.75" x14ac:dyDescent="0.25">
      <c r="A12" s="2">
        <v>11</v>
      </c>
      <c r="B12" s="3" t="s">
        <v>19</v>
      </c>
      <c r="C12" s="2">
        <v>276</v>
      </c>
      <c r="D12" s="2">
        <v>321</v>
      </c>
      <c r="E12" s="2">
        <v>343</v>
      </c>
      <c r="F12" s="2">
        <v>15</v>
      </c>
      <c r="G12" s="2">
        <v>18</v>
      </c>
      <c r="H12" s="2">
        <v>81</v>
      </c>
      <c r="I12" s="2">
        <v>85</v>
      </c>
      <c r="J12" s="5">
        <f t="shared" si="0"/>
        <v>1139</v>
      </c>
    </row>
    <row r="13" spans="1:10" ht="15.75" x14ac:dyDescent="0.25">
      <c r="A13" s="2">
        <v>12</v>
      </c>
      <c r="B13" s="3" t="s">
        <v>20</v>
      </c>
      <c r="C13" s="2">
        <v>434</v>
      </c>
      <c r="D13" s="2">
        <v>441</v>
      </c>
      <c r="E13" s="2">
        <v>460</v>
      </c>
      <c r="F13" s="2">
        <v>53</v>
      </c>
      <c r="G13" s="2">
        <v>239</v>
      </c>
      <c r="H13" s="2">
        <v>92</v>
      </c>
      <c r="I13" s="2">
        <v>64</v>
      </c>
      <c r="J13" s="5">
        <f t="shared" si="0"/>
        <v>1783</v>
      </c>
    </row>
    <row r="14" spans="1:10" ht="15.75" x14ac:dyDescent="0.25">
      <c r="A14" s="2">
        <v>13</v>
      </c>
      <c r="B14" s="3" t="s">
        <v>21</v>
      </c>
      <c r="C14" s="2">
        <v>560</v>
      </c>
      <c r="D14" s="2">
        <v>654</v>
      </c>
      <c r="E14" s="2">
        <v>762</v>
      </c>
      <c r="F14" s="2">
        <v>38</v>
      </c>
      <c r="G14" s="2">
        <v>124</v>
      </c>
      <c r="H14" s="2">
        <v>207</v>
      </c>
      <c r="I14" s="2">
        <v>318</v>
      </c>
      <c r="J14" s="5">
        <f t="shared" si="0"/>
        <v>2663</v>
      </c>
    </row>
    <row r="15" spans="1:10" ht="15.75" x14ac:dyDescent="0.25">
      <c r="A15" s="2">
        <v>14</v>
      </c>
      <c r="B15" s="3" t="s">
        <v>22</v>
      </c>
      <c r="C15" s="2">
        <v>756</v>
      </c>
      <c r="D15" s="2">
        <v>726</v>
      </c>
      <c r="E15" s="2">
        <v>984</v>
      </c>
      <c r="F15" s="2">
        <v>21</v>
      </c>
      <c r="G15" s="2">
        <v>26</v>
      </c>
      <c r="H15" s="2">
        <v>188</v>
      </c>
      <c r="I15" s="2">
        <v>139</v>
      </c>
      <c r="J15" s="5">
        <f t="shared" si="0"/>
        <v>2840</v>
      </c>
    </row>
    <row r="16" spans="1:10" ht="15.75" x14ac:dyDescent="0.25">
      <c r="A16" s="2">
        <v>15</v>
      </c>
      <c r="B16" s="3" t="s">
        <v>23</v>
      </c>
      <c r="C16" s="2">
        <v>763</v>
      </c>
      <c r="D16" s="2">
        <v>762</v>
      </c>
      <c r="E16" s="2">
        <v>828</v>
      </c>
      <c r="F16" s="2">
        <v>29</v>
      </c>
      <c r="G16" s="2">
        <v>32</v>
      </c>
      <c r="H16" s="2">
        <v>228</v>
      </c>
      <c r="I16" s="2">
        <v>248</v>
      </c>
      <c r="J16" s="5">
        <f t="shared" si="0"/>
        <v>2890</v>
      </c>
    </row>
    <row r="17" spans="1:10" ht="15.75" x14ac:dyDescent="0.25">
      <c r="A17" s="2">
        <v>16</v>
      </c>
      <c r="B17" s="3" t="s">
        <v>24</v>
      </c>
      <c r="C17" s="2">
        <v>359</v>
      </c>
      <c r="D17" s="2">
        <v>575</v>
      </c>
      <c r="E17" s="2">
        <v>370</v>
      </c>
      <c r="F17" s="2">
        <v>6</v>
      </c>
      <c r="G17" s="2">
        <v>3</v>
      </c>
      <c r="H17" s="2">
        <v>75</v>
      </c>
      <c r="I17" s="2">
        <v>109</v>
      </c>
      <c r="J17" s="5">
        <f t="shared" si="0"/>
        <v>1497</v>
      </c>
    </row>
    <row r="18" spans="1:10" ht="15.75" x14ac:dyDescent="0.25">
      <c r="A18" s="2">
        <v>17</v>
      </c>
      <c r="B18" s="3" t="s">
        <v>25</v>
      </c>
      <c r="C18" s="2">
        <v>114</v>
      </c>
      <c r="D18" s="2">
        <v>165</v>
      </c>
      <c r="E18" s="2">
        <v>87</v>
      </c>
      <c r="F18" s="2">
        <v>3</v>
      </c>
      <c r="G18" s="2">
        <v>0</v>
      </c>
      <c r="H18" s="2">
        <v>47</v>
      </c>
      <c r="I18" s="2">
        <v>60</v>
      </c>
      <c r="J18" s="5">
        <f t="shared" si="0"/>
        <v>476</v>
      </c>
    </row>
    <row r="19" spans="1:10" ht="15.75" x14ac:dyDescent="0.25">
      <c r="A19" s="2">
        <v>18</v>
      </c>
      <c r="B19" s="3" t="s">
        <v>26</v>
      </c>
      <c r="C19" s="2">
        <v>291</v>
      </c>
      <c r="D19" s="2">
        <v>155</v>
      </c>
      <c r="E19" s="2">
        <v>269</v>
      </c>
      <c r="F19" s="2">
        <v>9</v>
      </c>
      <c r="G19" s="2">
        <v>49</v>
      </c>
      <c r="H19" s="2">
        <v>61</v>
      </c>
      <c r="I19" s="2">
        <v>384</v>
      </c>
      <c r="J19" s="5">
        <f t="shared" si="0"/>
        <v>1218</v>
      </c>
    </row>
    <row r="20" spans="1:10" ht="15.75" x14ac:dyDescent="0.25">
      <c r="A20" s="2">
        <v>19</v>
      </c>
      <c r="B20" s="3" t="s">
        <v>27</v>
      </c>
      <c r="C20" s="2">
        <v>266</v>
      </c>
      <c r="D20" s="2">
        <v>345</v>
      </c>
      <c r="E20" s="2">
        <v>384</v>
      </c>
      <c r="F20" s="2">
        <v>12</v>
      </c>
      <c r="G20" s="2">
        <v>4</v>
      </c>
      <c r="H20" s="2">
        <v>97</v>
      </c>
      <c r="I20" s="2">
        <v>69</v>
      </c>
      <c r="J20" s="5">
        <f t="shared" si="0"/>
        <v>1177</v>
      </c>
    </row>
    <row r="21" spans="1:10" ht="15.75" x14ac:dyDescent="0.25">
      <c r="A21" s="2">
        <v>20</v>
      </c>
      <c r="B21" s="3" t="s">
        <v>28</v>
      </c>
      <c r="C21" s="2">
        <v>123</v>
      </c>
      <c r="D21" s="2">
        <v>75</v>
      </c>
      <c r="E21" s="2">
        <v>267</v>
      </c>
      <c r="F21" s="2">
        <v>42</v>
      </c>
      <c r="G21" s="2">
        <v>44</v>
      </c>
      <c r="H21" s="2">
        <v>78</v>
      </c>
      <c r="I21" s="2">
        <v>60</v>
      </c>
      <c r="J21" s="5">
        <f t="shared" si="0"/>
        <v>689</v>
      </c>
    </row>
    <row r="22" spans="1:10" ht="15.75" x14ac:dyDescent="0.25">
      <c r="A22" s="2">
        <v>21</v>
      </c>
      <c r="B22" s="3" t="s">
        <v>29</v>
      </c>
      <c r="C22" s="2">
        <v>61</v>
      </c>
      <c r="D22" s="2">
        <v>77</v>
      </c>
      <c r="E22" s="2">
        <v>118</v>
      </c>
      <c r="F22" s="2">
        <v>3</v>
      </c>
      <c r="G22" s="2">
        <v>0</v>
      </c>
      <c r="H22" s="2">
        <v>19</v>
      </c>
      <c r="I22" s="2">
        <v>44</v>
      </c>
      <c r="J22" s="5">
        <f t="shared" si="0"/>
        <v>322</v>
      </c>
    </row>
    <row r="23" spans="1:10" ht="15.75" x14ac:dyDescent="0.25">
      <c r="A23" s="2">
        <v>22</v>
      </c>
      <c r="B23" s="3" t="s">
        <v>30</v>
      </c>
      <c r="C23" s="2">
        <v>114</v>
      </c>
      <c r="D23" s="2">
        <v>182</v>
      </c>
      <c r="E23" s="2">
        <v>141</v>
      </c>
      <c r="F23" s="2">
        <v>6</v>
      </c>
      <c r="G23" s="2">
        <v>2</v>
      </c>
      <c r="H23" s="2">
        <v>52</v>
      </c>
      <c r="I23" s="2">
        <v>59</v>
      </c>
      <c r="J23" s="5">
        <f t="shared" si="0"/>
        <v>556</v>
      </c>
    </row>
    <row r="24" spans="1:10" ht="15.75" x14ac:dyDescent="0.25">
      <c r="A24" s="2">
        <v>23</v>
      </c>
      <c r="B24" s="3" t="s">
        <v>31</v>
      </c>
      <c r="C24" s="2">
        <v>112</v>
      </c>
      <c r="D24" s="2">
        <v>99</v>
      </c>
      <c r="E24" s="2">
        <v>92</v>
      </c>
      <c r="F24" s="2">
        <v>3</v>
      </c>
      <c r="G24" s="2">
        <v>1</v>
      </c>
      <c r="H24" s="2">
        <v>4</v>
      </c>
      <c r="I24" s="2">
        <v>13</v>
      </c>
      <c r="J24" s="5">
        <f t="shared" si="0"/>
        <v>324</v>
      </c>
    </row>
    <row r="25" spans="1:10" ht="15.75" x14ac:dyDescent="0.25">
      <c r="A25" s="2">
        <v>24</v>
      </c>
      <c r="B25" s="3" t="s">
        <v>32</v>
      </c>
      <c r="C25" s="2">
        <v>185</v>
      </c>
      <c r="D25" s="2">
        <v>172</v>
      </c>
      <c r="E25" s="2">
        <v>297</v>
      </c>
      <c r="F25" s="2">
        <v>22</v>
      </c>
      <c r="G25" s="2">
        <v>1</v>
      </c>
      <c r="H25" s="2">
        <v>47</v>
      </c>
      <c r="I25" s="2">
        <v>41</v>
      </c>
      <c r="J25" s="5">
        <f t="shared" si="0"/>
        <v>765</v>
      </c>
    </row>
    <row r="26" spans="1:10" ht="15.75" x14ac:dyDescent="0.25">
      <c r="A26" s="2">
        <v>25</v>
      </c>
      <c r="B26" s="3" t="s">
        <v>33</v>
      </c>
      <c r="C26" s="2">
        <v>816</v>
      </c>
      <c r="D26" s="2">
        <v>442</v>
      </c>
      <c r="E26" s="2">
        <v>477</v>
      </c>
      <c r="F26" s="2">
        <v>3</v>
      </c>
      <c r="G26" s="2">
        <v>26</v>
      </c>
      <c r="H26" s="2">
        <v>127</v>
      </c>
      <c r="I26" s="2">
        <v>96</v>
      </c>
      <c r="J26" s="5">
        <f t="shared" si="0"/>
        <v>1987</v>
      </c>
    </row>
    <row r="27" spans="1:10" ht="15.75" x14ac:dyDescent="0.25">
      <c r="A27" s="2">
        <v>26</v>
      </c>
      <c r="B27" s="3" t="s">
        <v>34</v>
      </c>
      <c r="C27" s="2">
        <v>164</v>
      </c>
      <c r="D27" s="2">
        <v>50</v>
      </c>
      <c r="E27" s="2">
        <v>77</v>
      </c>
      <c r="F27" s="2">
        <v>1</v>
      </c>
      <c r="G27" s="2">
        <v>1</v>
      </c>
      <c r="H27" s="2">
        <v>11</v>
      </c>
      <c r="I27" s="2">
        <v>13</v>
      </c>
      <c r="J27" s="5">
        <f t="shared" si="0"/>
        <v>317</v>
      </c>
    </row>
    <row r="28" spans="1:10" ht="15.75" x14ac:dyDescent="0.25">
      <c r="A28" s="2">
        <v>27</v>
      </c>
      <c r="B28" s="3" t="s">
        <v>35</v>
      </c>
      <c r="C28" s="2">
        <v>250</v>
      </c>
      <c r="D28" s="2">
        <v>210</v>
      </c>
      <c r="E28" s="2">
        <v>241</v>
      </c>
      <c r="F28" s="2">
        <v>4</v>
      </c>
      <c r="G28" s="2">
        <v>8</v>
      </c>
      <c r="H28" s="2">
        <v>87</v>
      </c>
      <c r="I28" s="2">
        <v>54</v>
      </c>
      <c r="J28" s="5">
        <f t="shared" si="0"/>
        <v>854</v>
      </c>
    </row>
    <row r="29" spans="1:10" ht="15.75" x14ac:dyDescent="0.25">
      <c r="A29" s="2">
        <v>28</v>
      </c>
      <c r="B29" s="3" t="s">
        <v>37</v>
      </c>
      <c r="C29" s="2">
        <v>181</v>
      </c>
      <c r="D29" s="2">
        <v>133</v>
      </c>
      <c r="E29" s="2">
        <v>297</v>
      </c>
      <c r="F29" s="2">
        <v>2</v>
      </c>
      <c r="G29" s="2">
        <v>12</v>
      </c>
      <c r="H29" s="2">
        <v>105</v>
      </c>
      <c r="I29" s="2">
        <v>98</v>
      </c>
      <c r="J29" s="5">
        <f t="shared" si="0"/>
        <v>828</v>
      </c>
    </row>
    <row r="30" spans="1:10" ht="15.75" x14ac:dyDescent="0.25">
      <c r="A30" s="2">
        <v>29</v>
      </c>
      <c r="B30" s="3" t="s">
        <v>38</v>
      </c>
      <c r="C30" s="2">
        <v>121</v>
      </c>
      <c r="D30" s="2">
        <v>67</v>
      </c>
      <c r="E30" s="2">
        <v>155</v>
      </c>
      <c r="F30" s="2">
        <v>1</v>
      </c>
      <c r="G30" s="2">
        <v>3</v>
      </c>
      <c r="H30" s="2">
        <v>21</v>
      </c>
      <c r="I30" s="2">
        <v>12</v>
      </c>
      <c r="J30" s="5">
        <f t="shared" si="0"/>
        <v>380</v>
      </c>
    </row>
    <row r="31" spans="1:10" ht="15.75" x14ac:dyDescent="0.25">
      <c r="A31" s="2">
        <v>30</v>
      </c>
      <c r="B31" s="3" t="s">
        <v>36</v>
      </c>
      <c r="C31" s="2">
        <v>161</v>
      </c>
      <c r="D31" s="2">
        <v>6</v>
      </c>
      <c r="E31" s="2">
        <v>127</v>
      </c>
      <c r="F31" s="2">
        <v>0</v>
      </c>
      <c r="G31" s="2">
        <v>0</v>
      </c>
      <c r="H31" s="2">
        <v>8</v>
      </c>
      <c r="I31" s="2">
        <v>25</v>
      </c>
      <c r="J31" s="5">
        <f t="shared" si="0"/>
        <v>327</v>
      </c>
    </row>
    <row r="32" spans="1:10" ht="15.75" x14ac:dyDescent="0.25">
      <c r="A32" s="2">
        <v>31</v>
      </c>
      <c r="B32" s="3" t="s">
        <v>40</v>
      </c>
      <c r="C32" s="2">
        <v>128</v>
      </c>
      <c r="D32" s="2">
        <v>97</v>
      </c>
      <c r="E32" s="2">
        <v>124</v>
      </c>
      <c r="F32" s="2">
        <v>4</v>
      </c>
      <c r="G32" s="2">
        <v>4</v>
      </c>
      <c r="H32" s="2">
        <v>54</v>
      </c>
      <c r="I32" s="2">
        <v>23</v>
      </c>
      <c r="J32" s="5">
        <f t="shared" si="0"/>
        <v>434</v>
      </c>
    </row>
    <row r="33" spans="1:10" ht="15.75" x14ac:dyDescent="0.25">
      <c r="A33" s="2">
        <v>32</v>
      </c>
      <c r="B33" s="3" t="s">
        <v>39</v>
      </c>
      <c r="C33" s="2">
        <v>80</v>
      </c>
      <c r="D33" s="2">
        <v>66</v>
      </c>
      <c r="E33" s="2">
        <v>155</v>
      </c>
      <c r="F33" s="2">
        <v>0</v>
      </c>
      <c r="G33" s="2">
        <v>0</v>
      </c>
      <c r="H33" s="2">
        <v>23</v>
      </c>
      <c r="I33" s="2">
        <v>57</v>
      </c>
      <c r="J33" s="5">
        <f t="shared" si="0"/>
        <v>381</v>
      </c>
    </row>
    <row r="34" spans="1:10" ht="15.75" x14ac:dyDescent="0.25">
      <c r="A34" s="2">
        <v>33</v>
      </c>
      <c r="B34" s="3" t="s">
        <v>41</v>
      </c>
      <c r="C34" s="2">
        <v>70</v>
      </c>
      <c r="D34" s="2">
        <v>112</v>
      </c>
      <c r="E34" s="2">
        <v>62</v>
      </c>
      <c r="F34" s="2">
        <v>0</v>
      </c>
      <c r="G34" s="2">
        <v>2</v>
      </c>
      <c r="H34" s="2">
        <v>44</v>
      </c>
      <c r="I34" s="2">
        <v>20</v>
      </c>
      <c r="J34" s="5">
        <f t="shared" si="0"/>
        <v>310</v>
      </c>
    </row>
    <row r="35" spans="1:10" ht="15.75" x14ac:dyDescent="0.25">
      <c r="A35" s="2">
        <v>34</v>
      </c>
      <c r="B35" s="3" t="s">
        <v>42</v>
      </c>
      <c r="C35" s="2">
        <v>29</v>
      </c>
      <c r="D35" s="2">
        <v>28</v>
      </c>
      <c r="E35" s="2">
        <v>33</v>
      </c>
      <c r="F35" s="2">
        <v>0</v>
      </c>
      <c r="G35" s="2">
        <v>2</v>
      </c>
      <c r="H35" s="2">
        <v>6</v>
      </c>
      <c r="I35" s="2">
        <v>11</v>
      </c>
      <c r="J35" s="5">
        <f t="shared" si="0"/>
        <v>109</v>
      </c>
    </row>
    <row r="36" spans="1:10" ht="15.75" x14ac:dyDescent="0.25">
      <c r="A36" s="2">
        <v>35</v>
      </c>
      <c r="B36" s="3" t="s">
        <v>43</v>
      </c>
      <c r="C36" s="2">
        <v>18</v>
      </c>
      <c r="D36" s="2">
        <v>29</v>
      </c>
      <c r="E36" s="2">
        <v>31</v>
      </c>
      <c r="F36" s="2">
        <v>0</v>
      </c>
      <c r="G36" s="2">
        <v>5</v>
      </c>
      <c r="H36" s="2">
        <v>15</v>
      </c>
      <c r="I36" s="2">
        <v>1</v>
      </c>
      <c r="J36" s="5">
        <f t="shared" si="0"/>
        <v>99</v>
      </c>
    </row>
    <row r="37" spans="1:10" ht="15.75" x14ac:dyDescent="0.25">
      <c r="A37" s="2">
        <v>36</v>
      </c>
      <c r="B37" s="3" t="s">
        <v>44</v>
      </c>
      <c r="C37" s="2">
        <v>91</v>
      </c>
      <c r="D37" s="2">
        <v>37</v>
      </c>
      <c r="E37" s="2">
        <v>35</v>
      </c>
      <c r="F37" s="2">
        <v>1</v>
      </c>
      <c r="G37" s="2">
        <v>0</v>
      </c>
      <c r="H37" s="2">
        <v>23</v>
      </c>
      <c r="I37" s="2">
        <v>15</v>
      </c>
      <c r="J37" s="5">
        <f t="shared" si="0"/>
        <v>202</v>
      </c>
    </row>
    <row r="38" spans="1:10" ht="15.75" x14ac:dyDescent="0.25">
      <c r="A38" s="2">
        <v>37</v>
      </c>
      <c r="B38" s="3" t="s">
        <v>45</v>
      </c>
      <c r="C38" s="2">
        <v>5</v>
      </c>
      <c r="D38" s="2">
        <v>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5">
        <f t="shared" si="0"/>
        <v>7</v>
      </c>
    </row>
    <row r="39" spans="1:10" ht="15.75" x14ac:dyDescent="0.25">
      <c r="A39" s="2">
        <v>38</v>
      </c>
      <c r="B39" s="3" t="s">
        <v>46</v>
      </c>
      <c r="C39" s="2">
        <v>39</v>
      </c>
      <c r="D39" s="2">
        <v>33</v>
      </c>
      <c r="E39" s="2">
        <v>38</v>
      </c>
      <c r="F39" s="2">
        <v>0</v>
      </c>
      <c r="G39" s="2">
        <v>0</v>
      </c>
      <c r="H39" s="2">
        <v>7</v>
      </c>
      <c r="I39" s="2">
        <v>1</v>
      </c>
      <c r="J39" s="5">
        <f t="shared" si="0"/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0890-2A9C-4E0D-AC73-2FF43D678B46}">
  <dimension ref="A1:J39"/>
  <sheetViews>
    <sheetView topLeftCell="A22" workbookViewId="0">
      <selection activeCell="C2" sqref="C2:J39"/>
    </sheetView>
  </sheetViews>
  <sheetFormatPr defaultRowHeight="15" x14ac:dyDescent="0.25"/>
  <cols>
    <col min="1" max="1" width="3.85546875" bestFit="1" customWidth="1"/>
    <col min="2" max="2" width="20" bestFit="1" customWidth="1"/>
    <col min="3" max="3" width="5.7109375" bestFit="1" customWidth="1"/>
    <col min="4" max="4" width="6.7109375" bestFit="1" customWidth="1"/>
    <col min="5" max="5" width="8.5703125" bestFit="1" customWidth="1"/>
    <col min="6" max="6" width="11.5703125" bestFit="1" customWidth="1"/>
    <col min="7" max="7" width="6.7109375" bestFit="1" customWidth="1"/>
    <col min="8" max="8" width="13.7109375" bestFit="1" customWidth="1"/>
    <col min="9" max="9" width="8.7109375" bestFit="1" customWidth="1"/>
    <col min="10" max="10" width="7.855468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</row>
    <row r="2" spans="1:10" ht="15.75" x14ac:dyDescent="0.25">
      <c r="A2" s="2">
        <v>1</v>
      </c>
      <c r="B2" s="3" t="s">
        <v>9</v>
      </c>
      <c r="C2" s="2">
        <v>298</v>
      </c>
      <c r="D2" s="2">
        <v>399</v>
      </c>
      <c r="E2" s="2">
        <v>302</v>
      </c>
      <c r="F2" s="2">
        <v>10</v>
      </c>
      <c r="G2" s="2">
        <v>2</v>
      </c>
      <c r="H2" s="2">
        <v>179</v>
      </c>
      <c r="I2" s="2">
        <v>96</v>
      </c>
      <c r="J2" s="5">
        <f>SUM(C2:I2)</f>
        <v>1286</v>
      </c>
    </row>
    <row r="3" spans="1:10" ht="15.75" x14ac:dyDescent="0.25">
      <c r="A3" s="2">
        <v>2</v>
      </c>
      <c r="B3" s="3" t="s">
        <v>10</v>
      </c>
      <c r="C3" s="2">
        <v>675</v>
      </c>
      <c r="D3" s="2">
        <v>281</v>
      </c>
      <c r="E3" s="2">
        <v>624</v>
      </c>
      <c r="F3" s="2">
        <v>12</v>
      </c>
      <c r="G3" s="2">
        <v>3</v>
      </c>
      <c r="H3" s="2">
        <v>156</v>
      </c>
      <c r="I3" s="2">
        <v>137</v>
      </c>
      <c r="J3" s="5">
        <f t="shared" ref="J3:J39" si="0">SUM(C3:I3)</f>
        <v>1888</v>
      </c>
    </row>
    <row r="4" spans="1:10" ht="15.75" x14ac:dyDescent="0.25">
      <c r="A4" s="2">
        <v>3</v>
      </c>
      <c r="B4" s="3" t="s">
        <v>11</v>
      </c>
      <c r="C4" s="2">
        <v>264</v>
      </c>
      <c r="D4" s="2">
        <v>168</v>
      </c>
      <c r="E4" s="2">
        <v>416</v>
      </c>
      <c r="F4" s="2">
        <v>5</v>
      </c>
      <c r="G4" s="2">
        <v>3</v>
      </c>
      <c r="H4" s="2">
        <v>60</v>
      </c>
      <c r="I4" s="2">
        <v>81</v>
      </c>
      <c r="J4" s="5">
        <f t="shared" si="0"/>
        <v>997</v>
      </c>
    </row>
    <row r="5" spans="1:10" ht="15.75" x14ac:dyDescent="0.25">
      <c r="A5" s="2">
        <v>4</v>
      </c>
      <c r="B5" s="3" t="s">
        <v>12</v>
      </c>
      <c r="C5" s="2">
        <v>215</v>
      </c>
      <c r="D5" s="2">
        <v>282</v>
      </c>
      <c r="E5" s="2">
        <v>451</v>
      </c>
      <c r="F5" s="2">
        <v>3</v>
      </c>
      <c r="G5" s="2">
        <v>5</v>
      </c>
      <c r="H5" s="2">
        <v>60</v>
      </c>
      <c r="I5" s="2">
        <v>212</v>
      </c>
      <c r="J5" s="5">
        <f t="shared" si="0"/>
        <v>1228</v>
      </c>
    </row>
    <row r="6" spans="1:10" ht="15.75" x14ac:dyDescent="0.25">
      <c r="A6" s="2">
        <v>5</v>
      </c>
      <c r="B6" s="3" t="s">
        <v>13</v>
      </c>
      <c r="C6" s="2">
        <v>121</v>
      </c>
      <c r="D6" s="2">
        <v>145</v>
      </c>
      <c r="E6" s="2">
        <v>253</v>
      </c>
      <c r="F6" s="2">
        <v>9</v>
      </c>
      <c r="G6" s="2">
        <v>52</v>
      </c>
      <c r="H6" s="2">
        <v>29</v>
      </c>
      <c r="I6" s="2">
        <v>159</v>
      </c>
      <c r="J6" s="5">
        <f t="shared" si="0"/>
        <v>768</v>
      </c>
    </row>
    <row r="7" spans="1:10" ht="15.75" x14ac:dyDescent="0.25">
      <c r="A7" s="2">
        <v>6</v>
      </c>
      <c r="B7" s="3" t="s">
        <v>14</v>
      </c>
      <c r="C7" s="2">
        <v>132</v>
      </c>
      <c r="D7" s="2">
        <v>91</v>
      </c>
      <c r="E7" s="2">
        <v>161</v>
      </c>
      <c r="F7" s="2">
        <v>1</v>
      </c>
      <c r="G7" s="2">
        <v>3</v>
      </c>
      <c r="H7" s="2">
        <v>22</v>
      </c>
      <c r="I7" s="2">
        <v>41</v>
      </c>
      <c r="J7" s="5">
        <f>SUM(C7:I7)</f>
        <v>451</v>
      </c>
    </row>
    <row r="8" spans="1:10" ht="15.75" x14ac:dyDescent="0.25">
      <c r="A8" s="2">
        <v>7</v>
      </c>
      <c r="B8" s="3" t="s">
        <v>15</v>
      </c>
      <c r="C8" s="2">
        <v>81</v>
      </c>
      <c r="D8" s="2">
        <v>85</v>
      </c>
      <c r="E8" s="2">
        <v>140</v>
      </c>
      <c r="F8" s="2">
        <v>5</v>
      </c>
      <c r="G8" s="2">
        <v>7</v>
      </c>
      <c r="H8" s="2">
        <v>19</v>
      </c>
      <c r="I8" s="2">
        <v>19</v>
      </c>
      <c r="J8" s="5">
        <f t="shared" si="0"/>
        <v>356</v>
      </c>
    </row>
    <row r="9" spans="1:10" ht="15.75" x14ac:dyDescent="0.25">
      <c r="A9" s="2">
        <v>8</v>
      </c>
      <c r="B9" s="3" t="s">
        <v>16</v>
      </c>
      <c r="C9" s="2">
        <v>228</v>
      </c>
      <c r="D9" s="2">
        <v>103</v>
      </c>
      <c r="E9" s="2">
        <v>256</v>
      </c>
      <c r="F9" s="2">
        <v>0</v>
      </c>
      <c r="G9" s="2">
        <v>1</v>
      </c>
      <c r="H9" s="2">
        <v>40</v>
      </c>
      <c r="I9" s="2">
        <v>62</v>
      </c>
      <c r="J9" s="5">
        <f t="shared" si="0"/>
        <v>690</v>
      </c>
    </row>
    <row r="10" spans="1:10" ht="15.75" x14ac:dyDescent="0.25">
      <c r="A10" s="2">
        <v>9</v>
      </c>
      <c r="B10" s="3" t="s">
        <v>17</v>
      </c>
      <c r="C10" s="2">
        <v>152</v>
      </c>
      <c r="D10" s="2">
        <v>186</v>
      </c>
      <c r="E10" s="2">
        <v>508</v>
      </c>
      <c r="F10" s="2">
        <v>15</v>
      </c>
      <c r="G10" s="2">
        <v>12</v>
      </c>
      <c r="H10" s="2">
        <v>11</v>
      </c>
      <c r="I10" s="2">
        <v>48</v>
      </c>
      <c r="J10" s="5">
        <f t="shared" si="0"/>
        <v>932</v>
      </c>
    </row>
    <row r="11" spans="1:10" ht="15.75" x14ac:dyDescent="0.25">
      <c r="A11" s="2">
        <v>10</v>
      </c>
      <c r="B11" s="3" t="s">
        <v>18</v>
      </c>
      <c r="C11" s="2">
        <v>92</v>
      </c>
      <c r="D11" s="2">
        <v>66</v>
      </c>
      <c r="E11" s="2">
        <v>86</v>
      </c>
      <c r="F11" s="2">
        <v>3</v>
      </c>
      <c r="G11" s="2">
        <v>4</v>
      </c>
      <c r="H11" s="2">
        <v>12</v>
      </c>
      <c r="I11" s="2">
        <v>9</v>
      </c>
      <c r="J11" s="5">
        <f t="shared" si="0"/>
        <v>272</v>
      </c>
    </row>
    <row r="12" spans="1:10" ht="15.75" x14ac:dyDescent="0.25">
      <c r="A12" s="2">
        <v>11</v>
      </c>
      <c r="B12" s="3" t="s">
        <v>19</v>
      </c>
      <c r="C12" s="2">
        <v>316</v>
      </c>
      <c r="D12" s="2">
        <v>338</v>
      </c>
      <c r="E12" s="2">
        <v>465</v>
      </c>
      <c r="F12" s="2">
        <v>4</v>
      </c>
      <c r="G12" s="2">
        <v>21</v>
      </c>
      <c r="H12" s="2">
        <v>56</v>
      </c>
      <c r="I12" s="2">
        <v>118</v>
      </c>
      <c r="J12" s="5">
        <f t="shared" si="0"/>
        <v>1318</v>
      </c>
    </row>
    <row r="13" spans="1:10" ht="15.75" x14ac:dyDescent="0.25">
      <c r="A13" s="2">
        <v>12</v>
      </c>
      <c r="B13" s="3" t="s">
        <v>20</v>
      </c>
      <c r="C13" s="2">
        <v>560</v>
      </c>
      <c r="D13" s="2">
        <v>533</v>
      </c>
      <c r="E13" s="2">
        <v>587</v>
      </c>
      <c r="F13" s="2">
        <v>19</v>
      </c>
      <c r="G13" s="2">
        <v>137</v>
      </c>
      <c r="H13" s="2">
        <v>101</v>
      </c>
      <c r="I13" s="2">
        <v>123</v>
      </c>
      <c r="J13" s="5">
        <f t="shared" si="0"/>
        <v>2060</v>
      </c>
    </row>
    <row r="14" spans="1:10" ht="15.75" x14ac:dyDescent="0.25">
      <c r="A14" s="2">
        <v>13</v>
      </c>
      <c r="B14" s="3" t="s">
        <v>21</v>
      </c>
      <c r="C14" s="2">
        <v>473</v>
      </c>
      <c r="D14" s="2">
        <v>574</v>
      </c>
      <c r="E14" s="2">
        <v>912</v>
      </c>
      <c r="F14" s="2">
        <v>21</v>
      </c>
      <c r="G14" s="2">
        <v>73</v>
      </c>
      <c r="H14" s="2">
        <v>160</v>
      </c>
      <c r="I14" s="2">
        <v>322</v>
      </c>
      <c r="J14" s="5">
        <f t="shared" si="0"/>
        <v>2535</v>
      </c>
    </row>
    <row r="15" spans="1:10" ht="15.75" x14ac:dyDescent="0.25">
      <c r="A15" s="2">
        <v>14</v>
      </c>
      <c r="B15" s="3" t="s">
        <v>22</v>
      </c>
      <c r="C15" s="2">
        <v>772</v>
      </c>
      <c r="D15" s="2">
        <v>843</v>
      </c>
      <c r="E15" s="2">
        <v>992</v>
      </c>
      <c r="F15" s="2">
        <v>44</v>
      </c>
      <c r="G15" s="2">
        <v>9</v>
      </c>
      <c r="H15" s="2">
        <v>223</v>
      </c>
      <c r="I15" s="2">
        <v>155</v>
      </c>
      <c r="J15" s="5">
        <f t="shared" si="0"/>
        <v>3038</v>
      </c>
    </row>
    <row r="16" spans="1:10" ht="15.75" x14ac:dyDescent="0.25">
      <c r="A16" s="2">
        <v>15</v>
      </c>
      <c r="B16" s="3" t="s">
        <v>23</v>
      </c>
      <c r="C16" s="2">
        <v>771</v>
      </c>
      <c r="D16" s="2">
        <v>827</v>
      </c>
      <c r="E16" s="2">
        <v>866</v>
      </c>
      <c r="F16" s="2">
        <v>16</v>
      </c>
      <c r="G16" s="2">
        <v>12</v>
      </c>
      <c r="H16" s="2">
        <v>262</v>
      </c>
      <c r="I16" s="2">
        <v>266</v>
      </c>
      <c r="J16" s="5">
        <f t="shared" si="0"/>
        <v>3020</v>
      </c>
    </row>
    <row r="17" spans="1:10" ht="15.75" x14ac:dyDescent="0.25">
      <c r="A17" s="2">
        <v>16</v>
      </c>
      <c r="B17" s="3" t="s">
        <v>24</v>
      </c>
      <c r="C17" s="2">
        <v>353</v>
      </c>
      <c r="D17" s="2">
        <v>627</v>
      </c>
      <c r="E17" s="2">
        <v>420</v>
      </c>
      <c r="F17" s="2">
        <v>4</v>
      </c>
      <c r="G17" s="2">
        <v>6</v>
      </c>
      <c r="H17" s="2">
        <v>52</v>
      </c>
      <c r="I17" s="2">
        <v>64</v>
      </c>
      <c r="J17" s="5">
        <f t="shared" si="0"/>
        <v>1526</v>
      </c>
    </row>
    <row r="18" spans="1:10" ht="15.75" x14ac:dyDescent="0.25">
      <c r="A18" s="2">
        <v>17</v>
      </c>
      <c r="B18" s="3" t="s">
        <v>25</v>
      </c>
      <c r="C18" s="2">
        <v>98</v>
      </c>
      <c r="D18" s="2">
        <v>162</v>
      </c>
      <c r="E18" s="2">
        <v>102</v>
      </c>
      <c r="F18" s="2">
        <v>2</v>
      </c>
      <c r="G18" s="2">
        <v>3</v>
      </c>
      <c r="H18" s="2">
        <v>62</v>
      </c>
      <c r="I18" s="2">
        <v>43</v>
      </c>
      <c r="J18" s="5">
        <f t="shared" si="0"/>
        <v>472</v>
      </c>
    </row>
    <row r="19" spans="1:10" ht="15.75" x14ac:dyDescent="0.25">
      <c r="A19" s="2">
        <v>18</v>
      </c>
      <c r="B19" s="3" t="s">
        <v>26</v>
      </c>
      <c r="C19" s="2">
        <v>242</v>
      </c>
      <c r="D19" s="2">
        <v>191</v>
      </c>
      <c r="E19" s="2">
        <v>345</v>
      </c>
      <c r="F19" s="2">
        <v>13</v>
      </c>
      <c r="G19" s="2">
        <v>18</v>
      </c>
      <c r="H19" s="2">
        <v>91</v>
      </c>
      <c r="I19" s="2">
        <v>269</v>
      </c>
      <c r="J19" s="5">
        <f t="shared" si="0"/>
        <v>1169</v>
      </c>
    </row>
    <row r="20" spans="1:10" ht="15.75" x14ac:dyDescent="0.25">
      <c r="A20" s="2">
        <v>19</v>
      </c>
      <c r="B20" s="3" t="s">
        <v>27</v>
      </c>
      <c r="C20" s="2">
        <v>393</v>
      </c>
      <c r="D20" s="2">
        <v>391</v>
      </c>
      <c r="E20" s="2">
        <v>421</v>
      </c>
      <c r="F20" s="2">
        <v>20</v>
      </c>
      <c r="G20" s="2">
        <v>4</v>
      </c>
      <c r="H20" s="2">
        <v>105</v>
      </c>
      <c r="I20" s="2">
        <v>114</v>
      </c>
      <c r="J20" s="5">
        <f t="shared" si="0"/>
        <v>1448</v>
      </c>
    </row>
    <row r="21" spans="1:10" ht="15.75" x14ac:dyDescent="0.25">
      <c r="A21" s="2">
        <v>20</v>
      </c>
      <c r="B21" s="3" t="s">
        <v>28</v>
      </c>
      <c r="C21" s="2">
        <v>156</v>
      </c>
      <c r="D21" s="2">
        <v>96</v>
      </c>
      <c r="E21" s="2">
        <v>302</v>
      </c>
      <c r="F21" s="2">
        <v>14</v>
      </c>
      <c r="G21" s="2">
        <v>1</v>
      </c>
      <c r="H21" s="2">
        <v>72</v>
      </c>
      <c r="I21" s="2">
        <v>67</v>
      </c>
      <c r="J21" s="5">
        <f t="shared" si="0"/>
        <v>708</v>
      </c>
    </row>
    <row r="22" spans="1:10" ht="15.75" x14ac:dyDescent="0.25">
      <c r="A22" s="2">
        <v>21</v>
      </c>
      <c r="B22" s="3" t="s">
        <v>29</v>
      </c>
      <c r="C22" s="2">
        <v>88</v>
      </c>
      <c r="D22" s="2">
        <v>76</v>
      </c>
      <c r="E22" s="2">
        <v>155</v>
      </c>
      <c r="F22" s="2">
        <v>1</v>
      </c>
      <c r="G22" s="2">
        <v>4</v>
      </c>
      <c r="H22" s="2">
        <v>19</v>
      </c>
      <c r="I22" s="2">
        <v>61</v>
      </c>
      <c r="J22" s="5">
        <f t="shared" si="0"/>
        <v>404</v>
      </c>
    </row>
    <row r="23" spans="1:10" ht="15.75" x14ac:dyDescent="0.25">
      <c r="A23" s="2">
        <v>22</v>
      </c>
      <c r="B23" s="3" t="s">
        <v>30</v>
      </c>
      <c r="C23" s="2">
        <v>165</v>
      </c>
      <c r="D23" s="2">
        <v>207</v>
      </c>
      <c r="E23" s="2">
        <v>187</v>
      </c>
      <c r="F23" s="2">
        <v>21</v>
      </c>
      <c r="G23" s="2">
        <v>8</v>
      </c>
      <c r="H23" s="2">
        <v>56</v>
      </c>
      <c r="I23" s="2">
        <v>115</v>
      </c>
      <c r="J23" s="5">
        <f t="shared" si="0"/>
        <v>759</v>
      </c>
    </row>
    <row r="24" spans="1:10" ht="15.75" x14ac:dyDescent="0.25">
      <c r="A24" s="2">
        <v>23</v>
      </c>
      <c r="B24" s="3" t="s">
        <v>31</v>
      </c>
      <c r="C24" s="2">
        <v>148</v>
      </c>
      <c r="D24" s="2">
        <v>102</v>
      </c>
      <c r="E24" s="2">
        <v>118</v>
      </c>
      <c r="F24" s="2">
        <v>6</v>
      </c>
      <c r="G24" s="2">
        <v>1</v>
      </c>
      <c r="H24" s="2">
        <v>34</v>
      </c>
      <c r="I24" s="2">
        <v>18</v>
      </c>
      <c r="J24" s="5">
        <f t="shared" si="0"/>
        <v>427</v>
      </c>
    </row>
    <row r="25" spans="1:10" ht="15.75" x14ac:dyDescent="0.25">
      <c r="A25" s="2">
        <v>24</v>
      </c>
      <c r="B25" s="3" t="s">
        <v>32</v>
      </c>
      <c r="C25" s="2">
        <v>457</v>
      </c>
      <c r="D25" s="2">
        <v>196</v>
      </c>
      <c r="E25" s="2">
        <v>353</v>
      </c>
      <c r="F25" s="2">
        <v>4</v>
      </c>
      <c r="G25" s="2">
        <v>11</v>
      </c>
      <c r="H25" s="2">
        <v>29</v>
      </c>
      <c r="I25" s="2">
        <v>39</v>
      </c>
      <c r="J25" s="5">
        <f t="shared" si="0"/>
        <v>1089</v>
      </c>
    </row>
    <row r="26" spans="1:10" ht="15.75" x14ac:dyDescent="0.25">
      <c r="A26" s="2">
        <v>25</v>
      </c>
      <c r="B26" s="3" t="s">
        <v>33</v>
      </c>
      <c r="C26" s="2">
        <v>550</v>
      </c>
      <c r="D26" s="2">
        <v>514</v>
      </c>
      <c r="E26" s="2">
        <v>415</v>
      </c>
      <c r="F26" s="2">
        <v>7</v>
      </c>
      <c r="G26" s="2">
        <v>39</v>
      </c>
      <c r="H26" s="2">
        <v>122</v>
      </c>
      <c r="I26" s="2">
        <v>133</v>
      </c>
      <c r="J26" s="5">
        <f t="shared" si="0"/>
        <v>1780</v>
      </c>
    </row>
    <row r="27" spans="1:10" ht="15.75" x14ac:dyDescent="0.25">
      <c r="A27" s="2">
        <v>26</v>
      </c>
      <c r="B27" s="3" t="s">
        <v>34</v>
      </c>
      <c r="C27" s="2">
        <v>75</v>
      </c>
      <c r="D27" s="2">
        <v>29</v>
      </c>
      <c r="E27" s="2">
        <v>42</v>
      </c>
      <c r="F27" s="2">
        <v>1</v>
      </c>
      <c r="G27" s="2">
        <v>1</v>
      </c>
      <c r="H27" s="2">
        <v>15</v>
      </c>
      <c r="I27" s="2">
        <v>15</v>
      </c>
      <c r="J27" s="5">
        <f t="shared" si="0"/>
        <v>178</v>
      </c>
    </row>
    <row r="28" spans="1:10" ht="15.75" x14ac:dyDescent="0.25">
      <c r="A28" s="2">
        <v>27</v>
      </c>
      <c r="B28" s="3" t="s">
        <v>35</v>
      </c>
      <c r="C28" s="2">
        <v>290</v>
      </c>
      <c r="D28" s="2">
        <v>229</v>
      </c>
      <c r="E28" s="2">
        <v>327</v>
      </c>
      <c r="F28" s="2">
        <v>2</v>
      </c>
      <c r="G28" s="2">
        <v>2</v>
      </c>
      <c r="H28" s="2">
        <v>48</v>
      </c>
      <c r="I28" s="2">
        <v>52</v>
      </c>
      <c r="J28" s="5">
        <f t="shared" si="0"/>
        <v>950</v>
      </c>
    </row>
    <row r="29" spans="1:10" ht="15.75" x14ac:dyDescent="0.25">
      <c r="A29" s="2">
        <v>28</v>
      </c>
      <c r="B29" s="3" t="s">
        <v>37</v>
      </c>
      <c r="C29" s="2">
        <v>230</v>
      </c>
      <c r="D29" s="2">
        <v>124</v>
      </c>
      <c r="E29" s="2">
        <v>367</v>
      </c>
      <c r="F29" s="2">
        <v>2</v>
      </c>
      <c r="G29" s="2">
        <v>1</v>
      </c>
      <c r="H29" s="2">
        <v>112</v>
      </c>
      <c r="I29" s="2">
        <v>111</v>
      </c>
      <c r="J29" s="5">
        <f t="shared" si="0"/>
        <v>947</v>
      </c>
    </row>
    <row r="30" spans="1:10" ht="15.75" x14ac:dyDescent="0.25">
      <c r="A30" s="2">
        <v>29</v>
      </c>
      <c r="B30" s="3" t="s">
        <v>38</v>
      </c>
      <c r="C30" s="2">
        <v>149</v>
      </c>
      <c r="D30" s="2">
        <v>75</v>
      </c>
      <c r="E30" s="2">
        <v>208</v>
      </c>
      <c r="F30" s="2">
        <v>7</v>
      </c>
      <c r="G30" s="2">
        <v>3</v>
      </c>
      <c r="H30" s="2">
        <v>41</v>
      </c>
      <c r="I30" s="2">
        <v>35</v>
      </c>
      <c r="J30" s="5">
        <f t="shared" si="0"/>
        <v>518</v>
      </c>
    </row>
    <row r="31" spans="1:10" ht="15.75" x14ac:dyDescent="0.25">
      <c r="A31" s="2">
        <v>30</v>
      </c>
      <c r="B31" s="3" t="s">
        <v>36</v>
      </c>
      <c r="C31" s="2">
        <v>127</v>
      </c>
      <c r="D31" s="2">
        <v>16</v>
      </c>
      <c r="E31" s="2">
        <v>177</v>
      </c>
      <c r="F31" s="2">
        <v>0</v>
      </c>
      <c r="G31" s="2">
        <v>0</v>
      </c>
      <c r="H31" s="2">
        <v>4</v>
      </c>
      <c r="I31" s="2">
        <v>27</v>
      </c>
      <c r="J31" s="5">
        <f t="shared" si="0"/>
        <v>351</v>
      </c>
    </row>
    <row r="32" spans="1:10" ht="15.75" x14ac:dyDescent="0.25">
      <c r="A32" s="2">
        <v>31</v>
      </c>
      <c r="B32" s="3" t="s">
        <v>40</v>
      </c>
      <c r="C32" s="2">
        <v>143</v>
      </c>
      <c r="D32" s="2">
        <v>132</v>
      </c>
      <c r="E32" s="2">
        <v>143</v>
      </c>
      <c r="F32" s="2">
        <v>1</v>
      </c>
      <c r="G32" s="2">
        <v>3</v>
      </c>
      <c r="H32" s="2">
        <v>57</v>
      </c>
      <c r="I32" s="2">
        <v>30</v>
      </c>
      <c r="J32" s="5">
        <f t="shared" si="0"/>
        <v>509</v>
      </c>
    </row>
    <row r="33" spans="1:10" ht="15.75" x14ac:dyDescent="0.25">
      <c r="A33" s="2">
        <v>32</v>
      </c>
      <c r="B33" s="3" t="s">
        <v>39</v>
      </c>
      <c r="C33" s="2">
        <v>110</v>
      </c>
      <c r="D33" s="2">
        <v>57</v>
      </c>
      <c r="E33" s="2">
        <v>189</v>
      </c>
      <c r="F33" s="2">
        <v>5</v>
      </c>
      <c r="G33" s="2">
        <v>2</v>
      </c>
      <c r="H33" s="2">
        <v>31</v>
      </c>
      <c r="I33" s="2">
        <v>64</v>
      </c>
      <c r="J33" s="5">
        <f t="shared" si="0"/>
        <v>458</v>
      </c>
    </row>
    <row r="34" spans="1:10" ht="15.75" x14ac:dyDescent="0.25">
      <c r="A34" s="2">
        <v>33</v>
      </c>
      <c r="B34" s="3" t="s">
        <v>41</v>
      </c>
      <c r="C34" s="2">
        <v>90</v>
      </c>
      <c r="D34" s="2">
        <v>141</v>
      </c>
      <c r="E34" s="2">
        <v>64</v>
      </c>
      <c r="F34" s="2">
        <v>0</v>
      </c>
      <c r="G34" s="2">
        <v>4</v>
      </c>
      <c r="H34" s="2">
        <v>52</v>
      </c>
      <c r="I34" s="2">
        <v>28</v>
      </c>
      <c r="J34" s="5">
        <f t="shared" si="0"/>
        <v>379</v>
      </c>
    </row>
    <row r="35" spans="1:10" ht="15.75" x14ac:dyDescent="0.25">
      <c r="A35" s="2">
        <v>34</v>
      </c>
      <c r="B35" s="3" t="s">
        <v>42</v>
      </c>
      <c r="C35" s="2">
        <v>38</v>
      </c>
      <c r="D35" s="2">
        <v>32</v>
      </c>
      <c r="E35" s="2">
        <v>30</v>
      </c>
      <c r="F35" s="2">
        <v>0</v>
      </c>
      <c r="G35" s="2">
        <v>0</v>
      </c>
      <c r="H35" s="2">
        <v>15</v>
      </c>
      <c r="I35" s="2">
        <v>6</v>
      </c>
      <c r="J35" s="5">
        <f t="shared" si="0"/>
        <v>121</v>
      </c>
    </row>
    <row r="36" spans="1:10" ht="15.75" x14ac:dyDescent="0.25">
      <c r="A36" s="2">
        <v>35</v>
      </c>
      <c r="B36" s="3" t="s">
        <v>43</v>
      </c>
      <c r="C36" s="2">
        <v>15</v>
      </c>
      <c r="D36" s="2">
        <v>16</v>
      </c>
      <c r="E36" s="2">
        <v>35</v>
      </c>
      <c r="F36" s="2">
        <v>2</v>
      </c>
      <c r="G36" s="2">
        <v>0</v>
      </c>
      <c r="H36" s="2">
        <v>10</v>
      </c>
      <c r="I36" s="2">
        <v>68</v>
      </c>
      <c r="J36" s="5">
        <f t="shared" si="0"/>
        <v>146</v>
      </c>
    </row>
    <row r="37" spans="1:10" ht="15.75" x14ac:dyDescent="0.25">
      <c r="A37" s="2">
        <v>36</v>
      </c>
      <c r="B37" s="3" t="s">
        <v>44</v>
      </c>
      <c r="C37" s="2">
        <v>17</v>
      </c>
      <c r="D37" s="2">
        <v>29</v>
      </c>
      <c r="E37" s="2">
        <v>13</v>
      </c>
      <c r="F37" s="2">
        <v>1</v>
      </c>
      <c r="G37" s="2">
        <v>0</v>
      </c>
      <c r="H37" s="2">
        <v>17</v>
      </c>
      <c r="I37" s="2">
        <v>10</v>
      </c>
      <c r="J37" s="5">
        <f t="shared" si="0"/>
        <v>87</v>
      </c>
    </row>
    <row r="38" spans="1:10" ht="15.75" x14ac:dyDescent="0.25">
      <c r="A38" s="2">
        <v>37</v>
      </c>
      <c r="B38" s="3" t="s">
        <v>45</v>
      </c>
      <c r="C38" s="2">
        <v>18</v>
      </c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0</v>
      </c>
      <c r="J38" s="5">
        <f t="shared" si="0"/>
        <v>21</v>
      </c>
    </row>
    <row r="39" spans="1:10" ht="15.75" x14ac:dyDescent="0.25">
      <c r="A39" s="2">
        <v>38</v>
      </c>
      <c r="B39" s="3" t="s">
        <v>46</v>
      </c>
      <c r="C39" s="2">
        <v>60</v>
      </c>
      <c r="D39" s="2">
        <v>67</v>
      </c>
      <c r="E39" s="2">
        <v>57</v>
      </c>
      <c r="F39" s="2">
        <v>0</v>
      </c>
      <c r="G39" s="2">
        <v>0</v>
      </c>
      <c r="H39" s="2">
        <v>16</v>
      </c>
      <c r="I39" s="2">
        <v>5</v>
      </c>
      <c r="J39" s="5">
        <f t="shared" si="0"/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EB17-164F-4257-8A54-6042CF0C2AAF}">
  <dimension ref="A1:J39"/>
  <sheetViews>
    <sheetView topLeftCell="A20" workbookViewId="0">
      <selection activeCell="F36" sqref="F36"/>
    </sheetView>
  </sheetViews>
  <sheetFormatPr defaultRowHeight="15" x14ac:dyDescent="0.25"/>
  <cols>
    <col min="1" max="1" width="3.85546875" bestFit="1" customWidth="1"/>
    <col min="2" max="2" width="20" bestFit="1" customWidth="1"/>
    <col min="3" max="3" width="5.7109375" bestFit="1" customWidth="1"/>
    <col min="4" max="4" width="6.7109375" bestFit="1" customWidth="1"/>
    <col min="5" max="5" width="8.5703125" bestFit="1" customWidth="1"/>
    <col min="6" max="6" width="11.5703125" bestFit="1" customWidth="1"/>
    <col min="7" max="7" width="6.7109375" bestFit="1" customWidth="1"/>
    <col min="8" max="8" width="13.7109375" bestFit="1" customWidth="1"/>
    <col min="9" max="9" width="8.7109375" bestFit="1" customWidth="1"/>
    <col min="10" max="10" width="7.855468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</row>
    <row r="2" spans="1:10" ht="15.75" x14ac:dyDescent="0.25">
      <c r="A2" s="2">
        <v>1</v>
      </c>
      <c r="B2" s="3" t="s">
        <v>9</v>
      </c>
      <c r="C2" s="2">
        <v>309</v>
      </c>
      <c r="D2" s="2">
        <v>297</v>
      </c>
      <c r="E2" s="2">
        <v>342</v>
      </c>
      <c r="F2" s="2">
        <v>3</v>
      </c>
      <c r="G2" s="2">
        <v>5</v>
      </c>
      <c r="H2" s="2">
        <v>164</v>
      </c>
      <c r="I2" s="2">
        <v>155</v>
      </c>
      <c r="J2" s="5">
        <f>SUM(C2:I2)</f>
        <v>1275</v>
      </c>
    </row>
    <row r="3" spans="1:10" ht="15.75" x14ac:dyDescent="0.25">
      <c r="A3" s="2">
        <v>2</v>
      </c>
      <c r="B3" s="3" t="s">
        <v>10</v>
      </c>
      <c r="C3" s="2">
        <v>831</v>
      </c>
      <c r="D3" s="2">
        <v>293</v>
      </c>
      <c r="E3" s="2">
        <v>758</v>
      </c>
      <c r="F3" s="2">
        <v>13</v>
      </c>
      <c r="G3" s="2">
        <v>2</v>
      </c>
      <c r="H3" s="2">
        <v>185</v>
      </c>
      <c r="I3" s="2">
        <v>224</v>
      </c>
      <c r="J3" s="5">
        <f t="shared" ref="J3:J39" si="0">SUM(C3:I3)</f>
        <v>2306</v>
      </c>
    </row>
    <row r="4" spans="1:10" ht="15.75" x14ac:dyDescent="0.25">
      <c r="A4" s="2">
        <v>3</v>
      </c>
      <c r="B4" s="3" t="s">
        <v>11</v>
      </c>
      <c r="C4" s="2">
        <v>279</v>
      </c>
      <c r="D4" s="2">
        <v>259</v>
      </c>
      <c r="E4" s="2">
        <v>501</v>
      </c>
      <c r="F4" s="2">
        <v>11</v>
      </c>
      <c r="G4" s="2">
        <v>3</v>
      </c>
      <c r="H4" s="2">
        <v>46</v>
      </c>
      <c r="I4" s="2">
        <v>73</v>
      </c>
      <c r="J4" s="5">
        <f t="shared" si="0"/>
        <v>1172</v>
      </c>
    </row>
    <row r="5" spans="1:10" ht="15.75" x14ac:dyDescent="0.25">
      <c r="A5" s="2">
        <v>4</v>
      </c>
      <c r="B5" s="3" t="s">
        <v>12</v>
      </c>
      <c r="C5" s="2">
        <v>223</v>
      </c>
      <c r="D5" s="2">
        <v>298</v>
      </c>
      <c r="E5" s="2">
        <v>582</v>
      </c>
      <c r="F5" s="2">
        <v>16</v>
      </c>
      <c r="G5" s="2">
        <v>5</v>
      </c>
      <c r="H5" s="2">
        <v>59</v>
      </c>
      <c r="I5" s="2">
        <v>192</v>
      </c>
      <c r="J5" s="5">
        <f t="shared" si="0"/>
        <v>1375</v>
      </c>
    </row>
    <row r="6" spans="1:10" ht="15.75" x14ac:dyDescent="0.25">
      <c r="A6" s="2">
        <v>5</v>
      </c>
      <c r="B6" s="3" t="s">
        <v>13</v>
      </c>
      <c r="C6" s="2">
        <v>169</v>
      </c>
      <c r="D6" s="2">
        <v>158</v>
      </c>
      <c r="E6" s="2">
        <v>270</v>
      </c>
      <c r="F6" s="2">
        <v>15</v>
      </c>
      <c r="G6" s="2">
        <v>34</v>
      </c>
      <c r="H6" s="2">
        <v>49</v>
      </c>
      <c r="I6" s="2">
        <v>96</v>
      </c>
      <c r="J6" s="5">
        <f t="shared" si="0"/>
        <v>791</v>
      </c>
    </row>
    <row r="7" spans="1:10" ht="15.75" x14ac:dyDescent="0.25">
      <c r="A7" s="2">
        <v>6</v>
      </c>
      <c r="B7" s="3" t="s">
        <v>14</v>
      </c>
      <c r="C7" s="2">
        <v>162</v>
      </c>
      <c r="D7" s="2">
        <v>167</v>
      </c>
      <c r="E7" s="2">
        <v>227</v>
      </c>
      <c r="F7" s="2">
        <v>3</v>
      </c>
      <c r="G7" s="2">
        <v>25</v>
      </c>
      <c r="H7" s="2">
        <v>29</v>
      </c>
      <c r="I7" s="2">
        <v>43</v>
      </c>
      <c r="J7" s="5">
        <f>SUM(C7:I7)</f>
        <v>656</v>
      </c>
    </row>
    <row r="8" spans="1:10" ht="15.75" x14ac:dyDescent="0.25">
      <c r="A8" s="2">
        <v>7</v>
      </c>
      <c r="B8" s="3" t="s">
        <v>15</v>
      </c>
      <c r="C8" s="2">
        <v>140</v>
      </c>
      <c r="D8" s="2">
        <v>71</v>
      </c>
      <c r="E8" s="2">
        <v>159</v>
      </c>
      <c r="F8" s="2">
        <v>13</v>
      </c>
      <c r="G8" s="2">
        <v>3</v>
      </c>
      <c r="H8" s="2">
        <v>24</v>
      </c>
      <c r="I8" s="2">
        <v>33</v>
      </c>
      <c r="J8" s="5">
        <f t="shared" si="0"/>
        <v>443</v>
      </c>
    </row>
    <row r="9" spans="1:10" ht="15.75" x14ac:dyDescent="0.25">
      <c r="A9" s="2">
        <v>8</v>
      </c>
      <c r="B9" s="3" t="s">
        <v>16</v>
      </c>
      <c r="C9" s="2">
        <v>267</v>
      </c>
      <c r="D9" s="2">
        <v>139</v>
      </c>
      <c r="E9" s="2">
        <v>281</v>
      </c>
      <c r="F9" s="2">
        <v>1</v>
      </c>
      <c r="G9" s="2">
        <v>6</v>
      </c>
      <c r="H9" s="2">
        <v>34</v>
      </c>
      <c r="I9" s="2">
        <v>74</v>
      </c>
      <c r="J9" s="5">
        <f t="shared" si="0"/>
        <v>802</v>
      </c>
    </row>
    <row r="10" spans="1:10" ht="15.75" x14ac:dyDescent="0.25">
      <c r="A10" s="2">
        <v>9</v>
      </c>
      <c r="B10" s="3" t="s">
        <v>17</v>
      </c>
      <c r="C10" s="2">
        <v>212</v>
      </c>
      <c r="D10" s="2">
        <v>136</v>
      </c>
      <c r="E10" s="2">
        <v>546</v>
      </c>
      <c r="F10" s="2">
        <v>2</v>
      </c>
      <c r="G10" s="2">
        <v>11</v>
      </c>
      <c r="H10" s="2">
        <v>8</v>
      </c>
      <c r="I10" s="2">
        <v>31</v>
      </c>
      <c r="J10" s="5">
        <f t="shared" si="0"/>
        <v>946</v>
      </c>
    </row>
    <row r="11" spans="1:10" ht="15.75" x14ac:dyDescent="0.25">
      <c r="A11" s="2">
        <v>10</v>
      </c>
      <c r="B11" s="3" t="s">
        <v>18</v>
      </c>
      <c r="C11" s="2">
        <v>138</v>
      </c>
      <c r="D11" s="2">
        <v>84</v>
      </c>
      <c r="E11" s="2">
        <v>111</v>
      </c>
      <c r="F11" s="2">
        <v>0</v>
      </c>
      <c r="G11" s="2">
        <v>2</v>
      </c>
      <c r="H11" s="2">
        <v>11</v>
      </c>
      <c r="I11" s="2">
        <v>37</v>
      </c>
      <c r="J11" s="5">
        <f t="shared" si="0"/>
        <v>383</v>
      </c>
    </row>
    <row r="12" spans="1:10" ht="15.75" x14ac:dyDescent="0.25">
      <c r="A12" s="2">
        <v>11</v>
      </c>
      <c r="B12" s="3" t="s">
        <v>19</v>
      </c>
      <c r="C12" s="2">
        <v>327</v>
      </c>
      <c r="D12" s="2">
        <v>440</v>
      </c>
      <c r="E12" s="2">
        <v>558</v>
      </c>
      <c r="F12" s="2">
        <v>7</v>
      </c>
      <c r="G12" s="2">
        <v>11</v>
      </c>
      <c r="H12" s="2">
        <v>46</v>
      </c>
      <c r="I12" s="2">
        <v>63</v>
      </c>
      <c r="J12" s="5">
        <f t="shared" si="0"/>
        <v>1452</v>
      </c>
    </row>
    <row r="13" spans="1:10" ht="15.75" x14ac:dyDescent="0.25">
      <c r="A13" s="2">
        <v>12</v>
      </c>
      <c r="B13" s="3" t="s">
        <v>20</v>
      </c>
      <c r="C13" s="2">
        <v>313</v>
      </c>
      <c r="D13" s="2">
        <v>326</v>
      </c>
      <c r="E13" s="2">
        <v>356</v>
      </c>
      <c r="F13" s="2">
        <v>7</v>
      </c>
      <c r="G13" s="2">
        <v>17</v>
      </c>
      <c r="H13" s="2">
        <v>36</v>
      </c>
      <c r="I13" s="2">
        <v>62</v>
      </c>
      <c r="J13" s="5">
        <f t="shared" si="0"/>
        <v>1117</v>
      </c>
    </row>
    <row r="14" spans="1:10" ht="15.75" x14ac:dyDescent="0.25">
      <c r="A14" s="2">
        <v>13</v>
      </c>
      <c r="B14" s="3" t="s">
        <v>21</v>
      </c>
      <c r="C14" s="2">
        <v>763</v>
      </c>
      <c r="D14" s="2">
        <v>773</v>
      </c>
      <c r="E14" s="2">
        <v>1270</v>
      </c>
      <c r="F14" s="2">
        <v>42</v>
      </c>
      <c r="G14" s="2">
        <v>46</v>
      </c>
      <c r="H14" s="2">
        <v>190</v>
      </c>
      <c r="I14" s="2">
        <v>638</v>
      </c>
      <c r="J14" s="5">
        <f t="shared" si="0"/>
        <v>3722</v>
      </c>
    </row>
    <row r="15" spans="1:10" ht="15.75" x14ac:dyDescent="0.25">
      <c r="A15" s="2">
        <v>14</v>
      </c>
      <c r="B15" s="3" t="s">
        <v>22</v>
      </c>
      <c r="C15" s="2">
        <v>735</v>
      </c>
      <c r="D15" s="2">
        <v>675</v>
      </c>
      <c r="E15" s="2">
        <v>971</v>
      </c>
      <c r="F15" s="2">
        <v>24</v>
      </c>
      <c r="G15" s="2">
        <v>12</v>
      </c>
      <c r="H15" s="2">
        <v>208</v>
      </c>
      <c r="I15" s="2">
        <v>209</v>
      </c>
      <c r="J15" s="5">
        <f t="shared" si="0"/>
        <v>2834</v>
      </c>
    </row>
    <row r="16" spans="1:10" ht="15.75" x14ac:dyDescent="0.25">
      <c r="A16" s="2">
        <v>15</v>
      </c>
      <c r="B16" s="3" t="s">
        <v>23</v>
      </c>
      <c r="C16" s="2">
        <v>964</v>
      </c>
      <c r="D16" s="2">
        <v>862</v>
      </c>
      <c r="E16" s="2">
        <v>1061</v>
      </c>
      <c r="F16" s="2">
        <v>55</v>
      </c>
      <c r="G16" s="2">
        <v>38</v>
      </c>
      <c r="H16" s="2">
        <v>289</v>
      </c>
      <c r="I16" s="2">
        <v>368</v>
      </c>
      <c r="J16" s="5">
        <f t="shared" si="0"/>
        <v>3637</v>
      </c>
    </row>
    <row r="17" spans="1:10" ht="15.75" x14ac:dyDescent="0.25">
      <c r="A17" s="2">
        <v>16</v>
      </c>
      <c r="B17" s="3" t="s">
        <v>24</v>
      </c>
      <c r="C17" s="2">
        <v>368</v>
      </c>
      <c r="D17" s="2">
        <v>453</v>
      </c>
      <c r="E17" s="2">
        <v>371</v>
      </c>
      <c r="F17" s="2">
        <v>12</v>
      </c>
      <c r="G17" s="2">
        <v>11</v>
      </c>
      <c r="H17" s="2">
        <v>72</v>
      </c>
      <c r="I17" s="2">
        <v>41</v>
      </c>
      <c r="J17" s="5">
        <f t="shared" si="0"/>
        <v>1328</v>
      </c>
    </row>
    <row r="18" spans="1:10" ht="15.75" x14ac:dyDescent="0.25">
      <c r="A18" s="2">
        <v>17</v>
      </c>
      <c r="B18" s="3" t="s">
        <v>25</v>
      </c>
      <c r="C18" s="2">
        <v>162</v>
      </c>
      <c r="D18" s="2">
        <v>224</v>
      </c>
      <c r="E18" s="2">
        <v>103</v>
      </c>
      <c r="F18" s="2">
        <v>3</v>
      </c>
      <c r="G18" s="2">
        <v>0</v>
      </c>
      <c r="H18" s="2">
        <v>35</v>
      </c>
      <c r="I18" s="2">
        <v>61</v>
      </c>
      <c r="J18" s="5">
        <f t="shared" si="0"/>
        <v>588</v>
      </c>
    </row>
    <row r="19" spans="1:10" ht="15.75" x14ac:dyDescent="0.25">
      <c r="A19" s="2">
        <v>18</v>
      </c>
      <c r="B19" s="3" t="s">
        <v>26</v>
      </c>
      <c r="C19" s="2">
        <v>277</v>
      </c>
      <c r="D19" s="2">
        <v>137</v>
      </c>
      <c r="E19" s="2">
        <v>396</v>
      </c>
      <c r="F19" s="2">
        <v>4</v>
      </c>
      <c r="G19" s="2">
        <v>27</v>
      </c>
      <c r="H19" s="2">
        <v>44</v>
      </c>
      <c r="I19" s="2">
        <v>227</v>
      </c>
      <c r="J19" s="5">
        <f t="shared" si="0"/>
        <v>1112</v>
      </c>
    </row>
    <row r="20" spans="1:10" ht="15.75" x14ac:dyDescent="0.25">
      <c r="A20" s="2">
        <v>19</v>
      </c>
      <c r="B20" s="3" t="s">
        <v>27</v>
      </c>
      <c r="C20" s="2">
        <v>402</v>
      </c>
      <c r="D20" s="2">
        <v>454</v>
      </c>
      <c r="E20" s="2">
        <v>410</v>
      </c>
      <c r="F20" s="2">
        <v>16</v>
      </c>
      <c r="G20" s="2">
        <v>6</v>
      </c>
      <c r="H20" s="2">
        <v>96</v>
      </c>
      <c r="I20" s="2">
        <v>56</v>
      </c>
      <c r="J20" s="5">
        <f t="shared" si="0"/>
        <v>1440</v>
      </c>
    </row>
    <row r="21" spans="1:10" ht="15.75" x14ac:dyDescent="0.25">
      <c r="A21" s="2">
        <v>20</v>
      </c>
      <c r="B21" s="3" t="s">
        <v>28</v>
      </c>
      <c r="C21" s="2">
        <v>147</v>
      </c>
      <c r="D21" s="2">
        <v>112</v>
      </c>
      <c r="E21" s="2">
        <v>297</v>
      </c>
      <c r="F21" s="2">
        <v>18</v>
      </c>
      <c r="G21" s="2">
        <v>5</v>
      </c>
      <c r="H21" s="2">
        <v>65</v>
      </c>
      <c r="I21" s="2">
        <v>62</v>
      </c>
      <c r="J21" s="5">
        <f t="shared" si="0"/>
        <v>706</v>
      </c>
    </row>
    <row r="22" spans="1:10" ht="15.75" x14ac:dyDescent="0.25">
      <c r="A22" s="2">
        <v>21</v>
      </c>
      <c r="B22" s="3" t="s">
        <v>29</v>
      </c>
      <c r="C22" s="2">
        <v>85</v>
      </c>
      <c r="D22" s="2">
        <v>81</v>
      </c>
      <c r="E22" s="2">
        <v>183</v>
      </c>
      <c r="F22" s="2">
        <v>5</v>
      </c>
      <c r="G22" s="2">
        <v>2</v>
      </c>
      <c r="H22" s="2">
        <v>30</v>
      </c>
      <c r="I22" s="2">
        <v>46</v>
      </c>
      <c r="J22" s="5">
        <f t="shared" si="0"/>
        <v>432</v>
      </c>
    </row>
    <row r="23" spans="1:10" ht="15.75" x14ac:dyDescent="0.25">
      <c r="A23" s="2">
        <v>22</v>
      </c>
      <c r="B23" s="3" t="s">
        <v>30</v>
      </c>
      <c r="C23" s="2">
        <v>144</v>
      </c>
      <c r="D23" s="2">
        <v>268</v>
      </c>
      <c r="E23" s="2">
        <v>228</v>
      </c>
      <c r="F23" s="2">
        <v>12</v>
      </c>
      <c r="G23" s="2">
        <v>2</v>
      </c>
      <c r="H23" s="2">
        <v>67</v>
      </c>
      <c r="I23" s="2">
        <v>128</v>
      </c>
      <c r="J23" s="5">
        <f t="shared" si="0"/>
        <v>849</v>
      </c>
    </row>
    <row r="24" spans="1:10" ht="15.75" x14ac:dyDescent="0.25">
      <c r="A24" s="2">
        <v>23</v>
      </c>
      <c r="B24" s="3" t="s">
        <v>31</v>
      </c>
      <c r="C24" s="2">
        <v>184</v>
      </c>
      <c r="D24" s="2">
        <v>70</v>
      </c>
      <c r="E24" s="2">
        <v>102</v>
      </c>
      <c r="F24" s="2">
        <v>3</v>
      </c>
      <c r="G24" s="2">
        <v>12</v>
      </c>
      <c r="H24" s="2">
        <v>16</v>
      </c>
      <c r="I24" s="2">
        <v>27</v>
      </c>
      <c r="J24" s="5">
        <f t="shared" si="0"/>
        <v>414</v>
      </c>
    </row>
    <row r="25" spans="1:10" ht="15.75" x14ac:dyDescent="0.25">
      <c r="A25" s="2">
        <v>24</v>
      </c>
      <c r="B25" s="3" t="s">
        <v>32</v>
      </c>
      <c r="C25" s="2">
        <v>558</v>
      </c>
      <c r="D25" s="2">
        <v>197</v>
      </c>
      <c r="E25" s="2">
        <v>418</v>
      </c>
      <c r="F25" s="2">
        <v>23</v>
      </c>
      <c r="G25" s="2">
        <v>15</v>
      </c>
      <c r="H25" s="2">
        <v>42</v>
      </c>
      <c r="I25" s="2">
        <v>58</v>
      </c>
      <c r="J25" s="5">
        <f t="shared" si="0"/>
        <v>1311</v>
      </c>
    </row>
    <row r="26" spans="1:10" ht="15.75" x14ac:dyDescent="0.25">
      <c r="A26" s="2">
        <v>25</v>
      </c>
      <c r="B26" s="3" t="s">
        <v>33</v>
      </c>
      <c r="C26" s="2">
        <v>603</v>
      </c>
      <c r="D26" s="2">
        <v>483</v>
      </c>
      <c r="E26" s="2">
        <v>576</v>
      </c>
      <c r="F26" s="2">
        <v>13</v>
      </c>
      <c r="G26" s="2">
        <v>38</v>
      </c>
      <c r="H26" s="2">
        <v>130</v>
      </c>
      <c r="I26" s="2">
        <v>170</v>
      </c>
      <c r="J26" s="5">
        <f t="shared" si="0"/>
        <v>2013</v>
      </c>
    </row>
    <row r="27" spans="1:10" ht="15.75" x14ac:dyDescent="0.25">
      <c r="A27" s="2">
        <v>26</v>
      </c>
      <c r="B27" s="3" t="s">
        <v>34</v>
      </c>
      <c r="C27" s="2">
        <v>72</v>
      </c>
      <c r="D27" s="2">
        <v>45</v>
      </c>
      <c r="E27" s="2">
        <v>83</v>
      </c>
      <c r="F27" s="2">
        <v>1</v>
      </c>
      <c r="G27" s="2">
        <v>4</v>
      </c>
      <c r="H27" s="2">
        <v>9</v>
      </c>
      <c r="I27" s="2">
        <v>12</v>
      </c>
      <c r="J27" s="5">
        <f t="shared" si="0"/>
        <v>226</v>
      </c>
    </row>
    <row r="28" spans="1:10" ht="15.75" x14ac:dyDescent="0.25">
      <c r="A28" s="2">
        <v>27</v>
      </c>
      <c r="B28" s="3" t="s">
        <v>35</v>
      </c>
      <c r="C28" s="2">
        <v>286</v>
      </c>
      <c r="D28" s="2">
        <v>280</v>
      </c>
      <c r="E28" s="2">
        <v>325</v>
      </c>
      <c r="F28" s="2">
        <v>14</v>
      </c>
      <c r="G28" s="2">
        <v>6</v>
      </c>
      <c r="H28" s="2">
        <v>51</v>
      </c>
      <c r="I28" s="2">
        <v>55</v>
      </c>
      <c r="J28" s="5">
        <f t="shared" si="0"/>
        <v>1017</v>
      </c>
    </row>
    <row r="29" spans="1:10" ht="15.75" x14ac:dyDescent="0.25">
      <c r="A29" s="2">
        <v>28</v>
      </c>
      <c r="B29" s="3" t="s">
        <v>37</v>
      </c>
      <c r="C29" s="2">
        <v>242</v>
      </c>
      <c r="D29" s="2">
        <v>141</v>
      </c>
      <c r="E29" s="2">
        <v>345</v>
      </c>
      <c r="F29" s="2">
        <v>3</v>
      </c>
      <c r="G29" s="2">
        <v>31</v>
      </c>
      <c r="H29" s="2">
        <v>108</v>
      </c>
      <c r="I29" s="2">
        <v>143</v>
      </c>
      <c r="J29" s="5">
        <f t="shared" si="0"/>
        <v>1013</v>
      </c>
    </row>
    <row r="30" spans="1:10" ht="15.75" x14ac:dyDescent="0.25">
      <c r="A30" s="2">
        <v>29</v>
      </c>
      <c r="B30" s="3" t="s">
        <v>38</v>
      </c>
      <c r="C30" s="2">
        <v>262</v>
      </c>
      <c r="D30" s="2">
        <v>66</v>
      </c>
      <c r="E30" s="2">
        <v>228</v>
      </c>
      <c r="F30" s="2">
        <v>1</v>
      </c>
      <c r="G30" s="2">
        <v>0</v>
      </c>
      <c r="H30" s="2">
        <v>33</v>
      </c>
      <c r="I30" s="2">
        <v>34</v>
      </c>
      <c r="J30" s="5">
        <f t="shared" si="0"/>
        <v>624</v>
      </c>
    </row>
    <row r="31" spans="1:10" ht="15.75" x14ac:dyDescent="0.25">
      <c r="A31" s="2">
        <v>30</v>
      </c>
      <c r="B31" s="3" t="s">
        <v>36</v>
      </c>
      <c r="C31" s="2">
        <v>95</v>
      </c>
      <c r="D31" s="2">
        <v>19</v>
      </c>
      <c r="E31" s="2">
        <v>185</v>
      </c>
      <c r="F31" s="2">
        <v>0</v>
      </c>
      <c r="G31" s="2">
        <v>7</v>
      </c>
      <c r="H31" s="2">
        <v>9</v>
      </c>
      <c r="I31" s="2">
        <v>15</v>
      </c>
      <c r="J31" s="5">
        <f t="shared" si="0"/>
        <v>330</v>
      </c>
    </row>
    <row r="32" spans="1:10" ht="15.75" x14ac:dyDescent="0.25">
      <c r="A32" s="2">
        <v>31</v>
      </c>
      <c r="B32" s="3" t="s">
        <v>40</v>
      </c>
      <c r="C32" s="2">
        <v>136</v>
      </c>
      <c r="D32" s="2">
        <v>120</v>
      </c>
      <c r="E32" s="2">
        <v>164</v>
      </c>
      <c r="F32" s="2">
        <v>5</v>
      </c>
      <c r="G32" s="2">
        <v>45</v>
      </c>
      <c r="H32" s="2">
        <v>32</v>
      </c>
      <c r="I32" s="2">
        <v>27</v>
      </c>
      <c r="J32" s="5">
        <f t="shared" si="0"/>
        <v>529</v>
      </c>
    </row>
    <row r="33" spans="1:10" ht="15.75" x14ac:dyDescent="0.25">
      <c r="A33" s="2">
        <v>32</v>
      </c>
      <c r="B33" s="3" t="s">
        <v>39</v>
      </c>
      <c r="C33" s="2">
        <v>130</v>
      </c>
      <c r="D33" s="2">
        <v>72</v>
      </c>
      <c r="E33" s="2">
        <v>215</v>
      </c>
      <c r="F33" s="2">
        <v>4</v>
      </c>
      <c r="G33" s="2">
        <v>13</v>
      </c>
      <c r="H33" s="2">
        <v>25</v>
      </c>
      <c r="I33" s="2">
        <v>85</v>
      </c>
      <c r="J33" s="5">
        <f t="shared" si="0"/>
        <v>544</v>
      </c>
    </row>
    <row r="34" spans="1:10" ht="15.75" x14ac:dyDescent="0.25">
      <c r="A34" s="2">
        <v>33</v>
      </c>
      <c r="B34" s="3" t="s">
        <v>41</v>
      </c>
      <c r="C34" s="2">
        <v>43</v>
      </c>
      <c r="D34" s="2">
        <v>91</v>
      </c>
      <c r="E34" s="2">
        <v>50</v>
      </c>
      <c r="F34" s="2">
        <v>0</v>
      </c>
      <c r="G34" s="2">
        <v>5</v>
      </c>
      <c r="H34" s="2">
        <v>23</v>
      </c>
      <c r="I34" s="2">
        <v>29</v>
      </c>
      <c r="J34" s="5">
        <f t="shared" si="0"/>
        <v>241</v>
      </c>
    </row>
    <row r="35" spans="1:10" ht="15.75" x14ac:dyDescent="0.25">
      <c r="A35" s="2">
        <v>34</v>
      </c>
      <c r="B35" s="3" t="s">
        <v>42</v>
      </c>
      <c r="C35" s="2">
        <v>46</v>
      </c>
      <c r="D35" s="2">
        <v>36</v>
      </c>
      <c r="E35" s="2">
        <v>42</v>
      </c>
      <c r="F35" s="2">
        <v>1</v>
      </c>
      <c r="G35" s="2">
        <v>1</v>
      </c>
      <c r="H35" s="2">
        <v>14</v>
      </c>
      <c r="I35" s="2">
        <v>12</v>
      </c>
      <c r="J35" s="5">
        <f t="shared" si="0"/>
        <v>152</v>
      </c>
    </row>
    <row r="36" spans="1:10" ht="15.75" x14ac:dyDescent="0.25">
      <c r="A36" s="2">
        <v>35</v>
      </c>
      <c r="B36" s="3" t="s">
        <v>43</v>
      </c>
      <c r="C36" s="2">
        <v>10</v>
      </c>
      <c r="D36" s="2">
        <v>14</v>
      </c>
      <c r="E36" s="2">
        <v>26</v>
      </c>
      <c r="F36" s="2">
        <v>1</v>
      </c>
      <c r="G36" s="2">
        <v>0</v>
      </c>
      <c r="H36" s="2">
        <v>9</v>
      </c>
      <c r="I36" s="2">
        <v>4</v>
      </c>
      <c r="J36" s="5">
        <f t="shared" si="0"/>
        <v>64</v>
      </c>
    </row>
    <row r="37" spans="1:10" ht="15.75" x14ac:dyDescent="0.25">
      <c r="A37" s="2">
        <v>36</v>
      </c>
      <c r="B37" s="3" t="s">
        <v>44</v>
      </c>
      <c r="C37" s="2">
        <v>33</v>
      </c>
      <c r="D37" s="2">
        <v>35</v>
      </c>
      <c r="E37" s="2">
        <v>27</v>
      </c>
      <c r="F37" s="2">
        <v>0</v>
      </c>
      <c r="G37" s="2">
        <v>0</v>
      </c>
      <c r="H37" s="2">
        <v>19</v>
      </c>
      <c r="I37" s="2">
        <v>18</v>
      </c>
      <c r="J37" s="5">
        <f t="shared" si="0"/>
        <v>132</v>
      </c>
    </row>
    <row r="38" spans="1:10" ht="15.75" x14ac:dyDescent="0.25">
      <c r="A38" s="2">
        <v>37</v>
      </c>
      <c r="B38" s="3" t="s">
        <v>45</v>
      </c>
      <c r="C38" s="2">
        <v>40</v>
      </c>
      <c r="D38" s="2">
        <v>23</v>
      </c>
      <c r="E38" s="2">
        <v>2</v>
      </c>
      <c r="F38" s="2">
        <v>0</v>
      </c>
      <c r="G38" s="2">
        <v>0</v>
      </c>
      <c r="H38" s="2">
        <v>0</v>
      </c>
      <c r="I38" s="2">
        <v>5</v>
      </c>
      <c r="J38" s="5">
        <f t="shared" si="0"/>
        <v>70</v>
      </c>
    </row>
    <row r="39" spans="1:10" ht="15.75" x14ac:dyDescent="0.25">
      <c r="A39" s="2">
        <v>38</v>
      </c>
      <c r="B39" s="3" t="s">
        <v>46</v>
      </c>
      <c r="C39" s="2">
        <v>72</v>
      </c>
      <c r="D39" s="2">
        <v>75</v>
      </c>
      <c r="E39" s="2">
        <v>48</v>
      </c>
      <c r="F39" s="2">
        <v>2</v>
      </c>
      <c r="G39" s="2">
        <v>0</v>
      </c>
      <c r="H39" s="2">
        <v>32</v>
      </c>
      <c r="I39" s="2">
        <v>4</v>
      </c>
      <c r="J39" s="5">
        <f t="shared" si="0"/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FE3E-15DE-4495-A1B1-C12619740E74}">
  <dimension ref="A1:J39"/>
  <sheetViews>
    <sheetView topLeftCell="A29" workbookViewId="0">
      <selection activeCell="C2" sqref="C2:J39"/>
    </sheetView>
  </sheetViews>
  <sheetFormatPr defaultRowHeight="15" x14ac:dyDescent="0.25"/>
  <cols>
    <col min="1" max="1" width="3.85546875" bestFit="1" customWidth="1"/>
    <col min="2" max="2" width="20" bestFit="1" customWidth="1"/>
    <col min="3" max="3" width="5.7109375" bestFit="1" customWidth="1"/>
    <col min="4" max="4" width="6.7109375" bestFit="1" customWidth="1"/>
    <col min="5" max="5" width="8.5703125" bestFit="1" customWidth="1"/>
    <col min="6" max="6" width="11.5703125" bestFit="1" customWidth="1"/>
    <col min="7" max="7" width="6.7109375" bestFit="1" customWidth="1"/>
    <col min="8" max="8" width="13.7109375" bestFit="1" customWidth="1"/>
    <col min="9" max="9" width="8.7109375" bestFit="1" customWidth="1"/>
    <col min="10" max="10" width="7.855468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</row>
    <row r="2" spans="1:10" ht="15.75" x14ac:dyDescent="0.25">
      <c r="A2" s="2">
        <v>1</v>
      </c>
      <c r="B2" s="3" t="s">
        <v>9</v>
      </c>
      <c r="C2" s="2">
        <v>427</v>
      </c>
      <c r="D2" s="2">
        <v>413</v>
      </c>
      <c r="E2" s="2">
        <v>354</v>
      </c>
      <c r="F2" s="2">
        <v>6</v>
      </c>
      <c r="G2" s="2">
        <v>3</v>
      </c>
      <c r="H2" s="2">
        <v>128</v>
      </c>
      <c r="I2" s="2">
        <v>150</v>
      </c>
      <c r="J2" s="5">
        <f>SUM(C2:I2)</f>
        <v>1481</v>
      </c>
    </row>
    <row r="3" spans="1:10" ht="15.75" x14ac:dyDescent="0.25">
      <c r="A3" s="2">
        <v>2</v>
      </c>
      <c r="B3" s="3" t="s">
        <v>10</v>
      </c>
      <c r="C3" s="2">
        <v>625</v>
      </c>
      <c r="D3" s="2">
        <v>360</v>
      </c>
      <c r="E3" s="2">
        <v>734</v>
      </c>
      <c r="F3" s="2">
        <v>7</v>
      </c>
      <c r="G3" s="2">
        <v>7</v>
      </c>
      <c r="H3" s="2">
        <v>213</v>
      </c>
      <c r="I3" s="2">
        <v>160</v>
      </c>
      <c r="J3" s="5">
        <f t="shared" ref="J3:J39" si="0">SUM(C3:I3)</f>
        <v>2106</v>
      </c>
    </row>
    <row r="4" spans="1:10" ht="15.75" x14ac:dyDescent="0.25">
      <c r="A4" s="2">
        <v>3</v>
      </c>
      <c r="B4" s="3" t="s">
        <v>11</v>
      </c>
      <c r="C4" s="2">
        <v>301</v>
      </c>
      <c r="D4" s="2">
        <v>343</v>
      </c>
      <c r="E4" s="2">
        <v>547</v>
      </c>
      <c r="F4" s="2">
        <v>10</v>
      </c>
      <c r="G4" s="2">
        <v>6</v>
      </c>
      <c r="H4" s="2">
        <v>57</v>
      </c>
      <c r="I4" s="2">
        <v>52</v>
      </c>
      <c r="J4" s="5">
        <f t="shared" si="0"/>
        <v>1316</v>
      </c>
    </row>
    <row r="5" spans="1:10" ht="15.75" x14ac:dyDescent="0.25">
      <c r="A5" s="2">
        <v>4</v>
      </c>
      <c r="B5" s="3" t="s">
        <v>12</v>
      </c>
      <c r="C5" s="2">
        <v>240</v>
      </c>
      <c r="D5" s="2">
        <v>286</v>
      </c>
      <c r="E5" s="2">
        <v>636</v>
      </c>
      <c r="F5" s="2">
        <v>20</v>
      </c>
      <c r="G5" s="2">
        <v>10</v>
      </c>
      <c r="H5" s="2">
        <v>83</v>
      </c>
      <c r="I5" s="2">
        <v>225</v>
      </c>
      <c r="J5" s="5">
        <f t="shared" si="0"/>
        <v>1500</v>
      </c>
    </row>
    <row r="6" spans="1:10" ht="15.75" x14ac:dyDescent="0.25">
      <c r="A6" s="2">
        <v>5</v>
      </c>
      <c r="B6" s="3" t="s">
        <v>13</v>
      </c>
      <c r="C6" s="2">
        <v>144</v>
      </c>
      <c r="D6" s="2">
        <v>95</v>
      </c>
      <c r="E6" s="2">
        <v>295</v>
      </c>
      <c r="F6" s="2">
        <v>2</v>
      </c>
      <c r="G6" s="2">
        <v>65</v>
      </c>
      <c r="H6" s="2">
        <v>22</v>
      </c>
      <c r="I6" s="2">
        <v>30</v>
      </c>
      <c r="J6" s="5">
        <f t="shared" si="0"/>
        <v>653</v>
      </c>
    </row>
    <row r="7" spans="1:10" ht="15.75" x14ac:dyDescent="0.25">
      <c r="A7" s="2">
        <v>6</v>
      </c>
      <c r="B7" s="3" t="s">
        <v>14</v>
      </c>
      <c r="C7" s="2">
        <v>187</v>
      </c>
      <c r="D7" s="2">
        <v>156</v>
      </c>
      <c r="E7" s="2">
        <v>272</v>
      </c>
      <c r="F7" s="2">
        <v>7</v>
      </c>
      <c r="G7" s="2">
        <v>23</v>
      </c>
      <c r="H7" s="2">
        <v>48</v>
      </c>
      <c r="I7" s="2">
        <v>33</v>
      </c>
      <c r="J7" s="5">
        <f>SUM(C7:I7)</f>
        <v>726</v>
      </c>
    </row>
    <row r="8" spans="1:10" ht="15.75" x14ac:dyDescent="0.25">
      <c r="A8" s="2">
        <v>7</v>
      </c>
      <c r="B8" s="3" t="s">
        <v>15</v>
      </c>
      <c r="C8" s="2">
        <v>108</v>
      </c>
      <c r="D8" s="2">
        <v>40</v>
      </c>
      <c r="E8" s="2">
        <v>155</v>
      </c>
      <c r="F8" s="2">
        <v>6</v>
      </c>
      <c r="G8" s="2">
        <v>9</v>
      </c>
      <c r="H8" s="2">
        <v>17</v>
      </c>
      <c r="I8" s="2">
        <v>10</v>
      </c>
      <c r="J8" s="5">
        <f t="shared" si="0"/>
        <v>345</v>
      </c>
    </row>
    <row r="9" spans="1:10" ht="15.75" x14ac:dyDescent="0.25">
      <c r="A9" s="2">
        <v>8</v>
      </c>
      <c r="B9" s="3" t="s">
        <v>16</v>
      </c>
      <c r="C9" s="2">
        <v>276</v>
      </c>
      <c r="D9" s="2">
        <v>178</v>
      </c>
      <c r="E9" s="2">
        <v>231</v>
      </c>
      <c r="F9" s="2">
        <v>2</v>
      </c>
      <c r="G9" s="2">
        <v>11</v>
      </c>
      <c r="H9" s="2">
        <v>34</v>
      </c>
      <c r="I9" s="2">
        <v>48</v>
      </c>
      <c r="J9" s="5">
        <f t="shared" si="0"/>
        <v>780</v>
      </c>
    </row>
    <row r="10" spans="1:10" ht="15.75" x14ac:dyDescent="0.25">
      <c r="A10" s="2">
        <v>9</v>
      </c>
      <c r="B10" s="3" t="s">
        <v>17</v>
      </c>
      <c r="C10" s="2">
        <v>188</v>
      </c>
      <c r="D10" s="2">
        <v>93</v>
      </c>
      <c r="E10" s="2">
        <v>548</v>
      </c>
      <c r="F10" s="2">
        <v>2</v>
      </c>
      <c r="G10" s="2">
        <v>13</v>
      </c>
      <c r="H10" s="2">
        <v>8</v>
      </c>
      <c r="I10" s="2">
        <v>32</v>
      </c>
      <c r="J10" s="5">
        <f t="shared" si="0"/>
        <v>884</v>
      </c>
    </row>
    <row r="11" spans="1:10" ht="15.75" x14ac:dyDescent="0.25">
      <c r="A11" s="2">
        <v>10</v>
      </c>
      <c r="B11" s="3" t="s">
        <v>18</v>
      </c>
      <c r="C11" s="2">
        <v>171</v>
      </c>
      <c r="D11" s="2">
        <v>90</v>
      </c>
      <c r="E11" s="2">
        <v>125</v>
      </c>
      <c r="F11" s="2">
        <v>5</v>
      </c>
      <c r="G11" s="2">
        <v>8</v>
      </c>
      <c r="H11" s="2">
        <v>18</v>
      </c>
      <c r="I11" s="2">
        <v>37</v>
      </c>
      <c r="J11" s="5">
        <f t="shared" si="0"/>
        <v>454</v>
      </c>
    </row>
    <row r="12" spans="1:10" ht="15.75" x14ac:dyDescent="0.25">
      <c r="A12" s="2">
        <v>11</v>
      </c>
      <c r="B12" s="3" t="s">
        <v>19</v>
      </c>
      <c r="C12" s="2">
        <v>429</v>
      </c>
      <c r="D12" s="2">
        <v>479</v>
      </c>
      <c r="E12" s="2">
        <v>654</v>
      </c>
      <c r="F12" s="2">
        <v>14</v>
      </c>
      <c r="G12" s="2">
        <v>5</v>
      </c>
      <c r="H12" s="2">
        <v>37</v>
      </c>
      <c r="I12" s="2">
        <v>54</v>
      </c>
      <c r="J12" s="5">
        <f t="shared" si="0"/>
        <v>1672</v>
      </c>
    </row>
    <row r="13" spans="1:10" ht="15.75" x14ac:dyDescent="0.25">
      <c r="A13" s="2">
        <v>12</v>
      </c>
      <c r="B13" s="3" t="s">
        <v>20</v>
      </c>
      <c r="C13" s="2">
        <v>867</v>
      </c>
      <c r="D13" s="2">
        <v>824</v>
      </c>
      <c r="E13" s="2">
        <v>819</v>
      </c>
      <c r="F13" s="2">
        <v>22</v>
      </c>
      <c r="G13" s="2">
        <v>83</v>
      </c>
      <c r="H13" s="2">
        <v>67</v>
      </c>
      <c r="I13" s="2">
        <v>13</v>
      </c>
      <c r="J13" s="5">
        <f t="shared" si="0"/>
        <v>2695</v>
      </c>
    </row>
    <row r="14" spans="1:10" ht="15.75" x14ac:dyDescent="0.25">
      <c r="A14" s="2">
        <v>13</v>
      </c>
      <c r="B14" s="3" t="s">
        <v>21</v>
      </c>
      <c r="C14" s="2">
        <v>897</v>
      </c>
      <c r="D14" s="2">
        <v>825</v>
      </c>
      <c r="E14" s="2">
        <v>1501</v>
      </c>
      <c r="F14" s="2">
        <v>45</v>
      </c>
      <c r="G14" s="2">
        <v>36</v>
      </c>
      <c r="H14" s="2">
        <v>186</v>
      </c>
      <c r="I14" s="2">
        <v>530</v>
      </c>
      <c r="J14" s="5">
        <f t="shared" si="0"/>
        <v>4020</v>
      </c>
    </row>
    <row r="15" spans="1:10" ht="15.75" x14ac:dyDescent="0.25">
      <c r="A15" s="2">
        <v>14</v>
      </c>
      <c r="B15" s="3" t="s">
        <v>22</v>
      </c>
      <c r="C15" s="2">
        <v>895</v>
      </c>
      <c r="D15" s="2">
        <v>849</v>
      </c>
      <c r="E15" s="2">
        <v>1038</v>
      </c>
      <c r="F15" s="2">
        <v>26</v>
      </c>
      <c r="G15" s="2">
        <v>6</v>
      </c>
      <c r="H15" s="2">
        <v>183</v>
      </c>
      <c r="I15" s="2">
        <v>130</v>
      </c>
      <c r="J15" s="5">
        <f t="shared" si="0"/>
        <v>3127</v>
      </c>
    </row>
    <row r="16" spans="1:10" ht="15.75" x14ac:dyDescent="0.25">
      <c r="A16" s="2">
        <v>15</v>
      </c>
      <c r="B16" s="3" t="s">
        <v>23</v>
      </c>
      <c r="C16" s="2">
        <v>988</v>
      </c>
      <c r="D16" s="2">
        <v>767</v>
      </c>
      <c r="E16" s="2">
        <v>959</v>
      </c>
      <c r="F16" s="2">
        <v>30</v>
      </c>
      <c r="G16" s="2">
        <v>82</v>
      </c>
      <c r="H16" s="2">
        <v>225</v>
      </c>
      <c r="I16" s="2">
        <v>321</v>
      </c>
      <c r="J16" s="5">
        <f t="shared" si="0"/>
        <v>3372</v>
      </c>
    </row>
    <row r="17" spans="1:10" ht="15.75" x14ac:dyDescent="0.25">
      <c r="A17" s="2">
        <v>16</v>
      </c>
      <c r="B17" s="3" t="s">
        <v>24</v>
      </c>
      <c r="C17" s="2">
        <v>440</v>
      </c>
      <c r="D17" s="2">
        <v>421</v>
      </c>
      <c r="E17" s="2">
        <v>364</v>
      </c>
      <c r="F17" s="2">
        <v>4</v>
      </c>
      <c r="G17" s="2">
        <v>5</v>
      </c>
      <c r="H17" s="2">
        <v>38</v>
      </c>
      <c r="I17" s="2">
        <v>32</v>
      </c>
      <c r="J17" s="5">
        <f t="shared" si="0"/>
        <v>1304</v>
      </c>
    </row>
    <row r="18" spans="1:10" ht="15.75" x14ac:dyDescent="0.25">
      <c r="A18" s="2">
        <v>17</v>
      </c>
      <c r="B18" s="3" t="s">
        <v>25</v>
      </c>
      <c r="C18" s="2">
        <v>145</v>
      </c>
      <c r="D18" s="2">
        <v>217</v>
      </c>
      <c r="E18" s="2">
        <v>100</v>
      </c>
      <c r="F18" s="2">
        <v>5</v>
      </c>
      <c r="G18" s="2">
        <v>20</v>
      </c>
      <c r="H18" s="2">
        <v>34</v>
      </c>
      <c r="I18" s="2">
        <v>85</v>
      </c>
      <c r="J18" s="5">
        <f t="shared" si="0"/>
        <v>606</v>
      </c>
    </row>
    <row r="19" spans="1:10" ht="15.75" x14ac:dyDescent="0.25">
      <c r="A19" s="2">
        <v>18</v>
      </c>
      <c r="B19" s="3" t="s">
        <v>26</v>
      </c>
      <c r="C19" s="2">
        <v>277</v>
      </c>
      <c r="D19" s="2">
        <v>165</v>
      </c>
      <c r="E19" s="2">
        <v>357</v>
      </c>
      <c r="F19" s="2">
        <v>8</v>
      </c>
      <c r="G19" s="2">
        <v>12</v>
      </c>
      <c r="H19" s="2">
        <v>29</v>
      </c>
      <c r="I19" s="2">
        <v>280</v>
      </c>
      <c r="J19" s="5">
        <f t="shared" si="0"/>
        <v>1128</v>
      </c>
    </row>
    <row r="20" spans="1:10" ht="15.75" x14ac:dyDescent="0.25">
      <c r="A20" s="2">
        <v>19</v>
      </c>
      <c r="B20" s="3" t="s">
        <v>27</v>
      </c>
      <c r="C20" s="2">
        <v>435</v>
      </c>
      <c r="D20" s="2">
        <v>556</v>
      </c>
      <c r="E20" s="2">
        <v>472</v>
      </c>
      <c r="F20" s="2">
        <v>23</v>
      </c>
      <c r="G20" s="2">
        <v>1</v>
      </c>
      <c r="H20" s="2">
        <v>106</v>
      </c>
      <c r="I20" s="2">
        <v>45</v>
      </c>
      <c r="J20" s="5">
        <f t="shared" si="0"/>
        <v>1638</v>
      </c>
    </row>
    <row r="21" spans="1:10" ht="15.75" x14ac:dyDescent="0.25">
      <c r="A21" s="2">
        <v>20</v>
      </c>
      <c r="B21" s="3" t="s">
        <v>28</v>
      </c>
      <c r="C21" s="2">
        <v>179</v>
      </c>
      <c r="D21" s="2">
        <v>90</v>
      </c>
      <c r="E21" s="2">
        <v>353</v>
      </c>
      <c r="F21" s="2">
        <v>13</v>
      </c>
      <c r="G21" s="2">
        <v>9</v>
      </c>
      <c r="H21" s="2">
        <v>19</v>
      </c>
      <c r="I21" s="2">
        <v>63</v>
      </c>
      <c r="J21" s="5">
        <f t="shared" si="0"/>
        <v>726</v>
      </c>
    </row>
    <row r="22" spans="1:10" ht="15.75" x14ac:dyDescent="0.25">
      <c r="A22" s="2">
        <v>21</v>
      </c>
      <c r="B22" s="3" t="s">
        <v>29</v>
      </c>
      <c r="C22" s="2">
        <v>148</v>
      </c>
      <c r="D22" s="2">
        <v>110</v>
      </c>
      <c r="E22" s="2">
        <v>204</v>
      </c>
      <c r="F22" s="2">
        <v>9</v>
      </c>
      <c r="G22" s="2">
        <v>8</v>
      </c>
      <c r="H22" s="2">
        <v>18</v>
      </c>
      <c r="I22" s="2">
        <v>64</v>
      </c>
      <c r="J22" s="5">
        <f t="shared" si="0"/>
        <v>561</v>
      </c>
    </row>
    <row r="23" spans="1:10" ht="15.75" x14ac:dyDescent="0.25">
      <c r="A23" s="2">
        <v>22</v>
      </c>
      <c r="B23" s="3" t="s">
        <v>30</v>
      </c>
      <c r="C23" s="2">
        <v>241</v>
      </c>
      <c r="D23" s="2">
        <v>345</v>
      </c>
      <c r="E23" s="2">
        <v>298</v>
      </c>
      <c r="F23" s="2">
        <v>25</v>
      </c>
      <c r="G23" s="2">
        <v>1</v>
      </c>
      <c r="H23" s="2">
        <v>77</v>
      </c>
      <c r="I23" s="2">
        <v>147</v>
      </c>
      <c r="J23" s="5">
        <f t="shared" si="0"/>
        <v>1134</v>
      </c>
    </row>
    <row r="24" spans="1:10" ht="15.75" x14ac:dyDescent="0.25">
      <c r="A24" s="2">
        <v>23</v>
      </c>
      <c r="B24" s="3" t="s">
        <v>31</v>
      </c>
      <c r="C24" s="2">
        <v>138</v>
      </c>
      <c r="D24" s="2">
        <v>57</v>
      </c>
      <c r="E24" s="2">
        <v>135</v>
      </c>
      <c r="F24" s="2">
        <v>8</v>
      </c>
      <c r="G24" s="2">
        <v>19</v>
      </c>
      <c r="H24" s="2">
        <v>12</v>
      </c>
      <c r="I24" s="2">
        <v>10</v>
      </c>
      <c r="J24" s="5">
        <f t="shared" si="0"/>
        <v>379</v>
      </c>
    </row>
    <row r="25" spans="1:10" ht="15.75" x14ac:dyDescent="0.25">
      <c r="A25" s="2">
        <v>24</v>
      </c>
      <c r="B25" s="3" t="s">
        <v>32</v>
      </c>
      <c r="C25" s="2">
        <v>350</v>
      </c>
      <c r="D25" s="2">
        <v>277</v>
      </c>
      <c r="E25" s="2">
        <v>495</v>
      </c>
      <c r="F25" s="2">
        <v>17</v>
      </c>
      <c r="G25" s="2">
        <v>10</v>
      </c>
      <c r="H25" s="2">
        <v>46</v>
      </c>
      <c r="I25" s="2">
        <v>45</v>
      </c>
      <c r="J25" s="5">
        <f t="shared" si="0"/>
        <v>1240</v>
      </c>
    </row>
    <row r="26" spans="1:10" ht="15.75" x14ac:dyDescent="0.25">
      <c r="A26" s="2">
        <v>25</v>
      </c>
      <c r="B26" s="3" t="s">
        <v>33</v>
      </c>
      <c r="C26" s="2">
        <v>629</v>
      </c>
      <c r="D26" s="2">
        <v>406</v>
      </c>
      <c r="E26" s="2">
        <v>610</v>
      </c>
      <c r="F26" s="2">
        <v>26</v>
      </c>
      <c r="G26" s="2">
        <v>10</v>
      </c>
      <c r="H26" s="2">
        <v>127</v>
      </c>
      <c r="I26" s="2">
        <v>140</v>
      </c>
      <c r="J26" s="5">
        <f t="shared" si="0"/>
        <v>1948</v>
      </c>
    </row>
    <row r="27" spans="1:10" ht="15.75" x14ac:dyDescent="0.25">
      <c r="A27" s="2">
        <v>26</v>
      </c>
      <c r="B27" s="3" t="s">
        <v>34</v>
      </c>
      <c r="C27" s="2">
        <v>92</v>
      </c>
      <c r="D27" s="2">
        <v>27</v>
      </c>
      <c r="E27" s="2">
        <v>63</v>
      </c>
      <c r="F27" s="2">
        <v>1</v>
      </c>
      <c r="G27" s="2">
        <v>0</v>
      </c>
      <c r="H27" s="2">
        <v>8</v>
      </c>
      <c r="I27" s="2">
        <v>12</v>
      </c>
      <c r="J27" s="5">
        <f t="shared" si="0"/>
        <v>203</v>
      </c>
    </row>
    <row r="28" spans="1:10" ht="15.75" x14ac:dyDescent="0.25">
      <c r="A28" s="2">
        <v>27</v>
      </c>
      <c r="B28" s="3" t="s">
        <v>35</v>
      </c>
      <c r="C28" s="2">
        <v>352</v>
      </c>
      <c r="D28" s="2">
        <v>272</v>
      </c>
      <c r="E28" s="2">
        <v>337</v>
      </c>
      <c r="F28" s="2">
        <v>10</v>
      </c>
      <c r="G28" s="2">
        <v>4</v>
      </c>
      <c r="H28" s="2">
        <v>39</v>
      </c>
      <c r="I28" s="2">
        <v>48</v>
      </c>
      <c r="J28" s="5">
        <f t="shared" si="0"/>
        <v>1062</v>
      </c>
    </row>
    <row r="29" spans="1:10" ht="15.75" x14ac:dyDescent="0.25">
      <c r="A29" s="2">
        <v>28</v>
      </c>
      <c r="B29" s="3" t="s">
        <v>37</v>
      </c>
      <c r="C29" s="2">
        <v>257</v>
      </c>
      <c r="D29" s="2">
        <v>155</v>
      </c>
      <c r="E29" s="2">
        <v>332</v>
      </c>
      <c r="F29" s="2">
        <v>5</v>
      </c>
      <c r="G29" s="2">
        <v>7</v>
      </c>
      <c r="H29" s="2">
        <v>95</v>
      </c>
      <c r="I29" s="2">
        <v>102</v>
      </c>
      <c r="J29" s="5">
        <f t="shared" si="0"/>
        <v>953</v>
      </c>
    </row>
    <row r="30" spans="1:10" ht="15.75" x14ac:dyDescent="0.25">
      <c r="A30" s="2">
        <v>29</v>
      </c>
      <c r="B30" s="3" t="s">
        <v>38</v>
      </c>
      <c r="C30" s="2">
        <v>203</v>
      </c>
      <c r="D30" s="2">
        <v>66</v>
      </c>
      <c r="E30" s="2">
        <v>235</v>
      </c>
      <c r="F30" s="2">
        <v>3</v>
      </c>
      <c r="G30" s="2">
        <v>1</v>
      </c>
      <c r="H30" s="2">
        <v>19</v>
      </c>
      <c r="I30" s="2">
        <v>32</v>
      </c>
      <c r="J30" s="5">
        <f t="shared" si="0"/>
        <v>559</v>
      </c>
    </row>
    <row r="31" spans="1:10" ht="15.75" x14ac:dyDescent="0.25">
      <c r="A31" s="2">
        <v>30</v>
      </c>
      <c r="B31" s="3" t="s">
        <v>36</v>
      </c>
      <c r="C31" s="2">
        <v>113</v>
      </c>
      <c r="D31" s="2">
        <v>20</v>
      </c>
      <c r="E31" s="2">
        <v>179</v>
      </c>
      <c r="F31" s="2">
        <v>3</v>
      </c>
      <c r="G31" s="2">
        <v>15</v>
      </c>
      <c r="H31" s="2">
        <v>3</v>
      </c>
      <c r="I31" s="2">
        <v>6</v>
      </c>
      <c r="J31" s="5">
        <f t="shared" si="0"/>
        <v>339</v>
      </c>
    </row>
    <row r="32" spans="1:10" ht="15.75" x14ac:dyDescent="0.25">
      <c r="A32" s="2">
        <v>31</v>
      </c>
      <c r="B32" s="3" t="s">
        <v>40</v>
      </c>
      <c r="C32" s="2">
        <v>164</v>
      </c>
      <c r="D32" s="2">
        <v>80</v>
      </c>
      <c r="E32" s="2">
        <v>193</v>
      </c>
      <c r="F32" s="2">
        <v>4</v>
      </c>
      <c r="G32" s="2">
        <v>8</v>
      </c>
      <c r="H32" s="2">
        <v>34</v>
      </c>
      <c r="I32" s="2">
        <v>24</v>
      </c>
      <c r="J32" s="5">
        <f t="shared" si="0"/>
        <v>507</v>
      </c>
    </row>
    <row r="33" spans="1:10" ht="15.75" x14ac:dyDescent="0.25">
      <c r="A33" s="2">
        <v>32</v>
      </c>
      <c r="B33" s="3" t="s">
        <v>39</v>
      </c>
      <c r="C33" s="2">
        <v>143</v>
      </c>
      <c r="D33" s="2">
        <v>47</v>
      </c>
      <c r="E33" s="2">
        <v>195</v>
      </c>
      <c r="F33" s="2">
        <v>2</v>
      </c>
      <c r="G33" s="2">
        <v>3</v>
      </c>
      <c r="H33" s="2">
        <v>42</v>
      </c>
      <c r="I33" s="2">
        <v>44</v>
      </c>
      <c r="J33" s="5">
        <f t="shared" si="0"/>
        <v>476</v>
      </c>
    </row>
    <row r="34" spans="1:10" ht="15.75" x14ac:dyDescent="0.25">
      <c r="A34" s="2">
        <v>33</v>
      </c>
      <c r="B34" s="3" t="s">
        <v>41</v>
      </c>
      <c r="C34" s="2">
        <v>33</v>
      </c>
      <c r="D34" s="2">
        <v>96</v>
      </c>
      <c r="E34" s="2">
        <v>62</v>
      </c>
      <c r="F34" s="2">
        <v>1</v>
      </c>
      <c r="G34" s="2">
        <v>1</v>
      </c>
      <c r="H34" s="2">
        <v>33</v>
      </c>
      <c r="I34" s="2">
        <v>34</v>
      </c>
      <c r="J34" s="5">
        <f t="shared" si="0"/>
        <v>260</v>
      </c>
    </row>
    <row r="35" spans="1:10" ht="15.75" x14ac:dyDescent="0.25">
      <c r="A35" s="2">
        <v>34</v>
      </c>
      <c r="B35" s="3" t="s">
        <v>42</v>
      </c>
      <c r="C35" s="2">
        <v>56</v>
      </c>
      <c r="D35" s="2">
        <v>43</v>
      </c>
      <c r="E35" s="2">
        <v>33</v>
      </c>
      <c r="F35" s="2">
        <v>2</v>
      </c>
      <c r="G35" s="2">
        <v>0</v>
      </c>
      <c r="H35" s="2">
        <v>16</v>
      </c>
      <c r="I35" s="2">
        <v>14</v>
      </c>
      <c r="J35" s="5">
        <f t="shared" si="0"/>
        <v>164</v>
      </c>
    </row>
    <row r="36" spans="1:10" ht="15.75" x14ac:dyDescent="0.25">
      <c r="A36" s="2">
        <v>35</v>
      </c>
      <c r="B36" s="3" t="s">
        <v>43</v>
      </c>
      <c r="C36" s="2">
        <v>15</v>
      </c>
      <c r="D36" s="2">
        <v>5</v>
      </c>
      <c r="E36" s="2">
        <v>24</v>
      </c>
      <c r="F36" s="2">
        <v>0</v>
      </c>
      <c r="G36" s="2">
        <v>0</v>
      </c>
      <c r="H36" s="2">
        <v>2</v>
      </c>
      <c r="I36" s="2">
        <v>2</v>
      </c>
      <c r="J36" s="5">
        <f t="shared" si="0"/>
        <v>48</v>
      </c>
    </row>
    <row r="37" spans="1:10" ht="15.75" x14ac:dyDescent="0.25">
      <c r="A37" s="2">
        <v>36</v>
      </c>
      <c r="B37" s="3" t="s">
        <v>44</v>
      </c>
      <c r="C37" s="2">
        <v>70</v>
      </c>
      <c r="D37" s="2">
        <v>74</v>
      </c>
      <c r="E37" s="2">
        <v>62</v>
      </c>
      <c r="F37" s="2">
        <v>0</v>
      </c>
      <c r="G37" s="2">
        <v>0</v>
      </c>
      <c r="H37" s="2">
        <v>17</v>
      </c>
      <c r="I37" s="2">
        <v>35</v>
      </c>
      <c r="J37" s="5">
        <f t="shared" si="0"/>
        <v>258</v>
      </c>
    </row>
    <row r="38" spans="1:10" ht="15.75" x14ac:dyDescent="0.25">
      <c r="A38" s="2">
        <v>37</v>
      </c>
      <c r="B38" s="3" t="s">
        <v>45</v>
      </c>
      <c r="C38" s="2">
        <v>50</v>
      </c>
      <c r="D38" s="2">
        <v>8</v>
      </c>
      <c r="E38" s="2">
        <v>4</v>
      </c>
      <c r="F38" s="2">
        <v>0</v>
      </c>
      <c r="G38" s="2">
        <v>0</v>
      </c>
      <c r="H38" s="2">
        <v>0</v>
      </c>
      <c r="I38" s="2">
        <v>3</v>
      </c>
      <c r="J38" s="5">
        <f t="shared" si="0"/>
        <v>65</v>
      </c>
    </row>
    <row r="39" spans="1:10" ht="15.75" x14ac:dyDescent="0.25">
      <c r="A39" s="2">
        <v>38</v>
      </c>
      <c r="B39" s="3" t="s">
        <v>46</v>
      </c>
      <c r="C39" s="2">
        <v>50</v>
      </c>
      <c r="D39" s="2">
        <v>55</v>
      </c>
      <c r="E39" s="2">
        <v>35</v>
      </c>
      <c r="F39" s="2">
        <v>0</v>
      </c>
      <c r="G39" s="2">
        <v>3</v>
      </c>
      <c r="H39" s="2">
        <v>30</v>
      </c>
      <c r="I39" s="2">
        <v>6</v>
      </c>
      <c r="J39" s="5">
        <f t="shared" si="0"/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C15E-A256-41D2-961C-A54C08E641C0}">
  <dimension ref="A1:J39"/>
  <sheetViews>
    <sheetView topLeftCell="A20" workbookViewId="0">
      <selection activeCell="L22" sqref="L22"/>
    </sheetView>
  </sheetViews>
  <sheetFormatPr defaultRowHeight="15" x14ac:dyDescent="0.25"/>
  <cols>
    <col min="1" max="1" width="3.85546875" bestFit="1" customWidth="1"/>
    <col min="2" max="2" width="20" style="4" bestFit="1" customWidth="1"/>
    <col min="3" max="3" width="5.7109375" bestFit="1" customWidth="1"/>
    <col min="4" max="4" width="6.7109375" bestFit="1" customWidth="1"/>
    <col min="5" max="5" width="8.5703125" bestFit="1" customWidth="1"/>
    <col min="6" max="6" width="11.5703125" bestFit="1" customWidth="1"/>
    <col min="7" max="7" width="6.7109375" bestFit="1" customWidth="1"/>
    <col min="8" max="8" width="13.7109375" bestFit="1" customWidth="1"/>
    <col min="9" max="9" width="8.7109375" bestFit="1" customWidth="1"/>
    <col min="10" max="10" width="7.85546875" style="6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</row>
    <row r="2" spans="1:10" ht="15.75" x14ac:dyDescent="0.25">
      <c r="A2" s="2">
        <v>1</v>
      </c>
      <c r="B2" s="3" t="s">
        <v>9</v>
      </c>
      <c r="C2" s="2">
        <v>327</v>
      </c>
      <c r="D2" s="2">
        <v>333</v>
      </c>
      <c r="E2" s="2">
        <v>287</v>
      </c>
      <c r="F2" s="2">
        <v>9</v>
      </c>
      <c r="G2" s="2">
        <v>3</v>
      </c>
      <c r="H2" s="2">
        <v>76</v>
      </c>
      <c r="I2" s="2">
        <v>151</v>
      </c>
      <c r="J2" s="5">
        <f>SUM(C2:I2)</f>
        <v>1186</v>
      </c>
    </row>
    <row r="3" spans="1:10" ht="15.75" x14ac:dyDescent="0.25">
      <c r="A3" s="2">
        <v>2</v>
      </c>
      <c r="B3" s="3" t="s">
        <v>10</v>
      </c>
      <c r="C3" s="2">
        <v>566</v>
      </c>
      <c r="D3" s="2">
        <v>386</v>
      </c>
      <c r="E3" s="2">
        <v>618</v>
      </c>
      <c r="F3" s="2">
        <v>5</v>
      </c>
      <c r="G3" s="2">
        <v>20</v>
      </c>
      <c r="H3" s="2">
        <v>114</v>
      </c>
      <c r="I3" s="2">
        <v>148</v>
      </c>
      <c r="J3" s="5">
        <f t="shared" ref="J3:J39" si="0">SUM(C3:I3)</f>
        <v>1857</v>
      </c>
    </row>
    <row r="4" spans="1:10" ht="15.75" x14ac:dyDescent="0.25">
      <c r="A4" s="2">
        <v>3</v>
      </c>
      <c r="B4" s="3" t="s">
        <v>11</v>
      </c>
      <c r="C4" s="2">
        <v>316</v>
      </c>
      <c r="D4" s="2">
        <v>349</v>
      </c>
      <c r="E4" s="2">
        <v>407</v>
      </c>
      <c r="F4" s="2">
        <v>10</v>
      </c>
      <c r="G4" s="2">
        <v>0</v>
      </c>
      <c r="H4" s="2">
        <v>43</v>
      </c>
      <c r="I4" s="2">
        <v>53</v>
      </c>
      <c r="J4" s="5">
        <f t="shared" si="0"/>
        <v>1178</v>
      </c>
    </row>
    <row r="5" spans="1:10" ht="15.75" x14ac:dyDescent="0.25">
      <c r="A5" s="2">
        <v>4</v>
      </c>
      <c r="B5" s="3" t="s">
        <v>12</v>
      </c>
      <c r="C5" s="2">
        <v>194</v>
      </c>
      <c r="D5" s="2">
        <v>221</v>
      </c>
      <c r="E5" s="2">
        <v>479</v>
      </c>
      <c r="F5" s="2">
        <v>42</v>
      </c>
      <c r="G5" s="2">
        <v>4</v>
      </c>
      <c r="H5" s="2">
        <v>47</v>
      </c>
      <c r="I5" s="2">
        <v>171</v>
      </c>
      <c r="J5" s="5">
        <f t="shared" si="0"/>
        <v>1158</v>
      </c>
    </row>
    <row r="6" spans="1:10" ht="15.75" x14ac:dyDescent="0.25">
      <c r="A6" s="2">
        <v>5</v>
      </c>
      <c r="B6" s="3" t="s">
        <v>13</v>
      </c>
      <c r="C6" s="2">
        <v>165</v>
      </c>
      <c r="D6" s="2">
        <v>89</v>
      </c>
      <c r="E6" s="2">
        <v>242</v>
      </c>
      <c r="F6" s="2">
        <v>0</v>
      </c>
      <c r="G6" s="2">
        <v>56</v>
      </c>
      <c r="H6" s="2">
        <v>12</v>
      </c>
      <c r="I6" s="2">
        <v>31</v>
      </c>
      <c r="J6" s="5">
        <f t="shared" si="0"/>
        <v>595</v>
      </c>
    </row>
    <row r="7" spans="1:10" ht="15.75" x14ac:dyDescent="0.25">
      <c r="A7" s="2">
        <v>6</v>
      </c>
      <c r="B7" s="3" t="s">
        <v>14</v>
      </c>
      <c r="C7" s="2">
        <v>160</v>
      </c>
      <c r="D7" s="2">
        <v>124</v>
      </c>
      <c r="E7" s="2">
        <v>168</v>
      </c>
      <c r="F7" s="2">
        <v>1</v>
      </c>
      <c r="G7" s="2">
        <v>8</v>
      </c>
      <c r="H7" s="2">
        <v>31</v>
      </c>
      <c r="I7" s="2">
        <v>43</v>
      </c>
      <c r="J7" s="5">
        <f>SUM(C7:I7)</f>
        <v>535</v>
      </c>
    </row>
    <row r="8" spans="1:10" ht="15.75" x14ac:dyDescent="0.25">
      <c r="A8" s="2">
        <v>7</v>
      </c>
      <c r="B8" s="3" t="s">
        <v>15</v>
      </c>
      <c r="C8" s="2">
        <v>127</v>
      </c>
      <c r="D8" s="2">
        <v>36</v>
      </c>
      <c r="E8" s="2">
        <v>139</v>
      </c>
      <c r="F8" s="2">
        <v>2</v>
      </c>
      <c r="G8" s="2">
        <v>1</v>
      </c>
      <c r="H8" s="2">
        <v>15</v>
      </c>
      <c r="I8" s="2">
        <v>25</v>
      </c>
      <c r="J8" s="5">
        <f t="shared" si="0"/>
        <v>345</v>
      </c>
    </row>
    <row r="9" spans="1:10" ht="15.75" x14ac:dyDescent="0.25">
      <c r="A9" s="2">
        <v>8</v>
      </c>
      <c r="B9" s="3" t="s">
        <v>16</v>
      </c>
      <c r="C9" s="2">
        <v>172</v>
      </c>
      <c r="D9" s="2">
        <v>116</v>
      </c>
      <c r="E9" s="2">
        <v>192</v>
      </c>
      <c r="F9" s="2">
        <v>9</v>
      </c>
      <c r="G9" s="2">
        <v>4</v>
      </c>
      <c r="H9" s="2">
        <v>20</v>
      </c>
      <c r="I9" s="2">
        <v>30</v>
      </c>
      <c r="J9" s="5">
        <f t="shared" si="0"/>
        <v>543</v>
      </c>
    </row>
    <row r="10" spans="1:10" ht="15.75" x14ac:dyDescent="0.25">
      <c r="A10" s="2">
        <v>9</v>
      </c>
      <c r="B10" s="3" t="s">
        <v>17</v>
      </c>
      <c r="C10" s="2">
        <v>282</v>
      </c>
      <c r="D10" s="2">
        <v>143</v>
      </c>
      <c r="E10" s="2">
        <v>484</v>
      </c>
      <c r="F10" s="2">
        <v>3</v>
      </c>
      <c r="G10" s="2">
        <v>1</v>
      </c>
      <c r="H10" s="2">
        <v>10</v>
      </c>
      <c r="I10" s="2">
        <v>34</v>
      </c>
      <c r="J10" s="5">
        <f t="shared" si="0"/>
        <v>957</v>
      </c>
    </row>
    <row r="11" spans="1:10" ht="15.75" x14ac:dyDescent="0.25">
      <c r="A11" s="2">
        <v>10</v>
      </c>
      <c r="B11" s="3" t="s">
        <v>18</v>
      </c>
      <c r="C11" s="2">
        <v>172</v>
      </c>
      <c r="D11" s="2">
        <v>104</v>
      </c>
      <c r="E11" s="2">
        <v>109</v>
      </c>
      <c r="F11" s="2">
        <v>2</v>
      </c>
      <c r="G11" s="2">
        <v>5</v>
      </c>
      <c r="H11" s="2">
        <v>9</v>
      </c>
      <c r="I11" s="2">
        <v>31</v>
      </c>
      <c r="J11" s="5">
        <f t="shared" si="0"/>
        <v>432</v>
      </c>
    </row>
    <row r="12" spans="1:10" ht="15.75" x14ac:dyDescent="0.25">
      <c r="A12" s="2">
        <v>11</v>
      </c>
      <c r="B12" s="3" t="s">
        <v>19</v>
      </c>
      <c r="C12" s="2">
        <v>380</v>
      </c>
      <c r="D12" s="2">
        <v>407</v>
      </c>
      <c r="E12" s="2">
        <v>614</v>
      </c>
      <c r="F12" s="2">
        <v>12</v>
      </c>
      <c r="G12" s="2">
        <v>15</v>
      </c>
      <c r="H12" s="2">
        <v>57</v>
      </c>
      <c r="I12" s="2">
        <v>39</v>
      </c>
      <c r="J12" s="5">
        <f t="shared" si="0"/>
        <v>1524</v>
      </c>
    </row>
    <row r="13" spans="1:10" ht="15.75" x14ac:dyDescent="0.25">
      <c r="A13" s="2">
        <v>12</v>
      </c>
      <c r="B13" s="3" t="s">
        <v>20</v>
      </c>
      <c r="C13" s="2">
        <v>794</v>
      </c>
      <c r="D13" s="2">
        <v>798</v>
      </c>
      <c r="E13" s="2">
        <v>723</v>
      </c>
      <c r="F13" s="2">
        <v>35</v>
      </c>
      <c r="G13" s="2">
        <v>63</v>
      </c>
      <c r="H13" s="2">
        <v>34</v>
      </c>
      <c r="I13" s="2">
        <v>14</v>
      </c>
      <c r="J13" s="5">
        <f t="shared" si="0"/>
        <v>2461</v>
      </c>
    </row>
    <row r="14" spans="1:10" ht="15.75" x14ac:dyDescent="0.25">
      <c r="A14" s="2">
        <v>13</v>
      </c>
      <c r="B14" s="3" t="s">
        <v>21</v>
      </c>
      <c r="C14" s="2">
        <v>768</v>
      </c>
      <c r="D14" s="2">
        <v>874</v>
      </c>
      <c r="E14" s="2">
        <v>1396</v>
      </c>
      <c r="F14" s="2">
        <v>25</v>
      </c>
      <c r="G14" s="2">
        <v>51</v>
      </c>
      <c r="H14" s="2">
        <v>155</v>
      </c>
      <c r="I14" s="2">
        <v>563</v>
      </c>
      <c r="J14" s="5">
        <f t="shared" si="0"/>
        <v>3832</v>
      </c>
    </row>
    <row r="15" spans="1:10" ht="15.75" x14ac:dyDescent="0.25">
      <c r="A15" s="2">
        <v>14</v>
      </c>
      <c r="B15" s="3" t="s">
        <v>22</v>
      </c>
      <c r="C15" s="2">
        <v>880</v>
      </c>
      <c r="D15" s="2">
        <v>867</v>
      </c>
      <c r="E15" s="2">
        <v>925</v>
      </c>
      <c r="F15" s="2">
        <v>27</v>
      </c>
      <c r="G15" s="2">
        <v>14</v>
      </c>
      <c r="H15" s="2">
        <v>141</v>
      </c>
      <c r="I15" s="2">
        <v>192</v>
      </c>
      <c r="J15" s="5">
        <f t="shared" si="0"/>
        <v>3046</v>
      </c>
    </row>
    <row r="16" spans="1:10" ht="15.75" x14ac:dyDescent="0.25">
      <c r="A16" s="2">
        <v>15</v>
      </c>
      <c r="B16" s="3" t="s">
        <v>23</v>
      </c>
      <c r="C16" s="2">
        <v>1011</v>
      </c>
      <c r="D16" s="2">
        <v>669</v>
      </c>
      <c r="E16" s="2">
        <v>819</v>
      </c>
      <c r="F16" s="2">
        <v>36</v>
      </c>
      <c r="G16" s="2">
        <v>38</v>
      </c>
      <c r="H16" s="2">
        <v>172</v>
      </c>
      <c r="I16" s="2">
        <v>320</v>
      </c>
      <c r="J16" s="5">
        <f t="shared" si="0"/>
        <v>3065</v>
      </c>
    </row>
    <row r="17" spans="1:10" ht="15.75" x14ac:dyDescent="0.25">
      <c r="A17" s="2">
        <v>16</v>
      </c>
      <c r="B17" s="3" t="s">
        <v>24</v>
      </c>
      <c r="C17" s="2">
        <v>324</v>
      </c>
      <c r="D17" s="2">
        <v>307</v>
      </c>
      <c r="E17" s="2">
        <v>251</v>
      </c>
      <c r="F17" s="2">
        <v>5</v>
      </c>
      <c r="G17" s="2">
        <v>6</v>
      </c>
      <c r="H17" s="2">
        <v>47</v>
      </c>
      <c r="I17" s="2">
        <v>33</v>
      </c>
      <c r="J17" s="5">
        <f t="shared" si="0"/>
        <v>973</v>
      </c>
    </row>
    <row r="18" spans="1:10" ht="15.75" x14ac:dyDescent="0.25">
      <c r="A18" s="2">
        <v>17</v>
      </c>
      <c r="B18" s="3" t="s">
        <v>25</v>
      </c>
      <c r="C18" s="2">
        <v>77</v>
      </c>
      <c r="D18" s="2">
        <v>232</v>
      </c>
      <c r="E18" s="2">
        <v>87</v>
      </c>
      <c r="F18" s="2">
        <v>3</v>
      </c>
      <c r="G18" s="2">
        <v>0</v>
      </c>
      <c r="H18" s="2">
        <v>15</v>
      </c>
      <c r="I18" s="2">
        <v>113</v>
      </c>
      <c r="J18" s="5">
        <f t="shared" si="0"/>
        <v>527</v>
      </c>
    </row>
    <row r="19" spans="1:10" ht="15.75" x14ac:dyDescent="0.25">
      <c r="A19" s="2">
        <v>18</v>
      </c>
      <c r="B19" s="3" t="s">
        <v>26</v>
      </c>
      <c r="C19" s="2">
        <v>287</v>
      </c>
      <c r="D19" s="2">
        <v>192</v>
      </c>
      <c r="E19" s="2">
        <v>311</v>
      </c>
      <c r="F19" s="2">
        <v>12</v>
      </c>
      <c r="G19" s="2">
        <v>10</v>
      </c>
      <c r="H19" s="2">
        <v>43</v>
      </c>
      <c r="I19" s="2">
        <v>245</v>
      </c>
      <c r="J19" s="5">
        <f t="shared" si="0"/>
        <v>1100</v>
      </c>
    </row>
    <row r="20" spans="1:10" ht="15.75" x14ac:dyDescent="0.25">
      <c r="A20" s="2">
        <v>19</v>
      </c>
      <c r="B20" s="3" t="s">
        <v>27</v>
      </c>
      <c r="C20" s="2">
        <v>403</v>
      </c>
      <c r="D20" s="2">
        <v>509</v>
      </c>
      <c r="E20" s="2">
        <v>419</v>
      </c>
      <c r="F20" s="2">
        <v>8</v>
      </c>
      <c r="G20" s="2">
        <v>2</v>
      </c>
      <c r="H20" s="2">
        <v>74</v>
      </c>
      <c r="I20" s="2">
        <v>51</v>
      </c>
      <c r="J20" s="5">
        <f t="shared" si="0"/>
        <v>1466</v>
      </c>
    </row>
    <row r="21" spans="1:10" ht="15.75" x14ac:dyDescent="0.25">
      <c r="A21" s="2">
        <v>20</v>
      </c>
      <c r="B21" s="3" t="s">
        <v>28</v>
      </c>
      <c r="C21" s="2">
        <v>154</v>
      </c>
      <c r="D21" s="2">
        <v>70</v>
      </c>
      <c r="E21" s="2">
        <v>227</v>
      </c>
      <c r="F21" s="2">
        <v>4</v>
      </c>
      <c r="G21" s="2">
        <v>12</v>
      </c>
      <c r="H21" s="2">
        <v>22</v>
      </c>
      <c r="I21" s="2">
        <v>49</v>
      </c>
      <c r="J21" s="5">
        <f t="shared" si="0"/>
        <v>538</v>
      </c>
    </row>
    <row r="22" spans="1:10" ht="15.75" x14ac:dyDescent="0.25">
      <c r="A22" s="2">
        <v>21</v>
      </c>
      <c r="B22" s="3" t="s">
        <v>29</v>
      </c>
      <c r="C22" s="2">
        <v>109</v>
      </c>
      <c r="D22" s="2">
        <v>112</v>
      </c>
      <c r="E22" s="2">
        <v>176</v>
      </c>
      <c r="F22" s="2">
        <v>8</v>
      </c>
      <c r="G22" s="2">
        <v>3</v>
      </c>
      <c r="H22" s="2">
        <v>9</v>
      </c>
      <c r="I22" s="2">
        <v>58</v>
      </c>
      <c r="J22" s="5">
        <f t="shared" si="0"/>
        <v>475</v>
      </c>
    </row>
    <row r="23" spans="1:10" ht="15.75" x14ac:dyDescent="0.25">
      <c r="A23" s="2">
        <v>22</v>
      </c>
      <c r="B23" s="3" t="s">
        <v>30</v>
      </c>
      <c r="C23" s="2">
        <v>196</v>
      </c>
      <c r="D23" s="2">
        <v>261</v>
      </c>
      <c r="E23" s="2">
        <v>211</v>
      </c>
      <c r="F23" s="2">
        <v>10</v>
      </c>
      <c r="G23" s="2">
        <v>4</v>
      </c>
      <c r="H23" s="2">
        <v>31</v>
      </c>
      <c r="I23" s="2">
        <v>186</v>
      </c>
      <c r="J23" s="5">
        <f t="shared" si="0"/>
        <v>899</v>
      </c>
    </row>
    <row r="24" spans="1:10" ht="15.75" x14ac:dyDescent="0.25">
      <c r="A24" s="2">
        <v>23</v>
      </c>
      <c r="B24" s="3" t="s">
        <v>31</v>
      </c>
      <c r="C24" s="2">
        <v>97</v>
      </c>
      <c r="D24" s="2">
        <v>54</v>
      </c>
      <c r="E24" s="2">
        <v>107</v>
      </c>
      <c r="F24" s="2">
        <v>0</v>
      </c>
      <c r="G24" s="2">
        <v>10</v>
      </c>
      <c r="H24" s="2">
        <v>24</v>
      </c>
      <c r="I24" s="2">
        <v>31</v>
      </c>
      <c r="J24" s="5">
        <f t="shared" si="0"/>
        <v>323</v>
      </c>
    </row>
    <row r="25" spans="1:10" ht="15.75" x14ac:dyDescent="0.25">
      <c r="A25" s="2">
        <v>24</v>
      </c>
      <c r="B25" s="3" t="s">
        <v>32</v>
      </c>
      <c r="C25" s="2">
        <v>511</v>
      </c>
      <c r="D25" s="2">
        <v>291</v>
      </c>
      <c r="E25" s="2">
        <v>471</v>
      </c>
      <c r="F25" s="2">
        <v>33</v>
      </c>
      <c r="G25" s="2">
        <v>16</v>
      </c>
      <c r="H25" s="2">
        <v>32</v>
      </c>
      <c r="I25" s="2">
        <v>58</v>
      </c>
      <c r="J25" s="5">
        <f t="shared" si="0"/>
        <v>1412</v>
      </c>
    </row>
    <row r="26" spans="1:10" ht="15.75" x14ac:dyDescent="0.25">
      <c r="A26" s="2">
        <v>25</v>
      </c>
      <c r="B26" s="3" t="s">
        <v>33</v>
      </c>
      <c r="C26" s="2">
        <v>590</v>
      </c>
      <c r="D26" s="2">
        <v>453</v>
      </c>
      <c r="E26" s="2">
        <v>463</v>
      </c>
      <c r="F26" s="2">
        <v>11</v>
      </c>
      <c r="G26" s="2">
        <v>13</v>
      </c>
      <c r="H26" s="2">
        <v>69</v>
      </c>
      <c r="I26" s="2">
        <v>92</v>
      </c>
      <c r="J26" s="5">
        <f t="shared" si="0"/>
        <v>1691</v>
      </c>
    </row>
    <row r="27" spans="1:10" ht="15.75" x14ac:dyDescent="0.25">
      <c r="A27" s="2">
        <v>26</v>
      </c>
      <c r="B27" s="3" t="s">
        <v>34</v>
      </c>
      <c r="C27" s="2">
        <v>80</v>
      </c>
      <c r="D27" s="2">
        <v>32</v>
      </c>
      <c r="E27" s="2">
        <v>55</v>
      </c>
      <c r="F27" s="2">
        <v>3</v>
      </c>
      <c r="G27" s="2">
        <v>1</v>
      </c>
      <c r="H27" s="2">
        <v>10</v>
      </c>
      <c r="I27" s="2">
        <v>11</v>
      </c>
      <c r="J27" s="5">
        <f t="shared" si="0"/>
        <v>192</v>
      </c>
    </row>
    <row r="28" spans="1:10" ht="15.75" x14ac:dyDescent="0.25">
      <c r="A28" s="2">
        <v>27</v>
      </c>
      <c r="B28" s="3" t="s">
        <v>35</v>
      </c>
      <c r="C28" s="2">
        <v>243</v>
      </c>
      <c r="D28" s="2">
        <v>173</v>
      </c>
      <c r="E28" s="2">
        <v>242</v>
      </c>
      <c r="F28" s="2">
        <v>6</v>
      </c>
      <c r="G28" s="2">
        <v>0</v>
      </c>
      <c r="H28" s="2">
        <v>42</v>
      </c>
      <c r="I28" s="2">
        <v>40</v>
      </c>
      <c r="J28" s="5">
        <f t="shared" si="0"/>
        <v>746</v>
      </c>
    </row>
    <row r="29" spans="1:10" ht="15.75" x14ac:dyDescent="0.25">
      <c r="A29" s="2">
        <v>28</v>
      </c>
      <c r="B29" s="3" t="s">
        <v>37</v>
      </c>
      <c r="C29" s="2">
        <v>155</v>
      </c>
      <c r="D29" s="2">
        <v>87</v>
      </c>
      <c r="E29" s="2">
        <v>215</v>
      </c>
      <c r="F29" s="2">
        <v>6</v>
      </c>
      <c r="G29" s="2">
        <v>7</v>
      </c>
      <c r="H29" s="2">
        <v>44</v>
      </c>
      <c r="I29" s="2">
        <v>64</v>
      </c>
      <c r="J29" s="5">
        <f t="shared" si="0"/>
        <v>578</v>
      </c>
    </row>
    <row r="30" spans="1:10" ht="15.75" x14ac:dyDescent="0.25">
      <c r="A30" s="2">
        <v>29</v>
      </c>
      <c r="B30" s="3" t="s">
        <v>38</v>
      </c>
      <c r="C30" s="2">
        <v>154</v>
      </c>
      <c r="D30" s="2">
        <v>41</v>
      </c>
      <c r="E30" s="2">
        <v>163</v>
      </c>
      <c r="F30" s="2">
        <v>1</v>
      </c>
      <c r="G30" s="2">
        <v>0</v>
      </c>
      <c r="H30" s="2">
        <v>10</v>
      </c>
      <c r="I30" s="2">
        <v>30</v>
      </c>
      <c r="J30" s="5">
        <f t="shared" si="0"/>
        <v>399</v>
      </c>
    </row>
    <row r="31" spans="1:10" ht="15.75" x14ac:dyDescent="0.25">
      <c r="A31" s="2">
        <v>30</v>
      </c>
      <c r="B31" s="3" t="s">
        <v>36</v>
      </c>
      <c r="C31" s="2">
        <v>93</v>
      </c>
      <c r="D31" s="2">
        <v>17</v>
      </c>
      <c r="E31" s="2">
        <v>167</v>
      </c>
      <c r="F31" s="2">
        <v>2</v>
      </c>
      <c r="G31" s="2">
        <v>4</v>
      </c>
      <c r="H31" s="2">
        <v>7</v>
      </c>
      <c r="I31" s="2">
        <v>4</v>
      </c>
      <c r="J31" s="5">
        <f t="shared" si="0"/>
        <v>294</v>
      </c>
    </row>
    <row r="32" spans="1:10" ht="15.75" x14ac:dyDescent="0.25">
      <c r="A32" s="2">
        <v>31</v>
      </c>
      <c r="B32" s="3" t="s">
        <v>40</v>
      </c>
      <c r="C32" s="2">
        <v>119</v>
      </c>
      <c r="D32" s="2">
        <v>86</v>
      </c>
      <c r="E32" s="2">
        <v>164</v>
      </c>
      <c r="F32" s="2">
        <v>1</v>
      </c>
      <c r="G32" s="2">
        <v>1</v>
      </c>
      <c r="H32" s="2">
        <v>22</v>
      </c>
      <c r="I32" s="2">
        <v>7</v>
      </c>
      <c r="J32" s="5">
        <f t="shared" si="0"/>
        <v>400</v>
      </c>
    </row>
    <row r="33" spans="1:10" ht="15.75" x14ac:dyDescent="0.25">
      <c r="A33" s="2">
        <v>32</v>
      </c>
      <c r="B33" s="3" t="s">
        <v>39</v>
      </c>
      <c r="C33" s="2">
        <v>86</v>
      </c>
      <c r="D33" s="2">
        <v>44</v>
      </c>
      <c r="E33" s="2">
        <v>125</v>
      </c>
      <c r="F33" s="2">
        <v>1</v>
      </c>
      <c r="G33" s="2">
        <v>0</v>
      </c>
      <c r="H33" s="2">
        <v>20</v>
      </c>
      <c r="I33" s="2">
        <v>17</v>
      </c>
      <c r="J33" s="5">
        <f t="shared" si="0"/>
        <v>293</v>
      </c>
    </row>
    <row r="34" spans="1:10" ht="15.75" x14ac:dyDescent="0.25">
      <c r="A34" s="2">
        <v>33</v>
      </c>
      <c r="B34" s="3" t="s">
        <v>41</v>
      </c>
      <c r="C34" s="2">
        <v>111</v>
      </c>
      <c r="D34" s="2">
        <v>102</v>
      </c>
      <c r="E34" s="2">
        <v>54</v>
      </c>
      <c r="F34" s="2">
        <v>0</v>
      </c>
      <c r="G34" s="2">
        <v>0</v>
      </c>
      <c r="H34" s="2">
        <v>29</v>
      </c>
      <c r="I34" s="2">
        <v>55</v>
      </c>
      <c r="J34" s="5">
        <f t="shared" si="0"/>
        <v>351</v>
      </c>
    </row>
    <row r="35" spans="1:10" ht="15.75" x14ac:dyDescent="0.25">
      <c r="A35" s="2">
        <v>34</v>
      </c>
      <c r="B35" s="3" t="s">
        <v>42</v>
      </c>
      <c r="C35" s="2">
        <v>36</v>
      </c>
      <c r="D35" s="2">
        <v>52</v>
      </c>
      <c r="E35" s="2">
        <v>33</v>
      </c>
      <c r="F35" s="2">
        <v>1</v>
      </c>
      <c r="G35" s="2">
        <v>0</v>
      </c>
      <c r="H35" s="2">
        <v>17</v>
      </c>
      <c r="I35" s="2">
        <v>11</v>
      </c>
      <c r="J35" s="5">
        <f t="shared" si="0"/>
        <v>150</v>
      </c>
    </row>
    <row r="36" spans="1:10" ht="15.75" x14ac:dyDescent="0.25">
      <c r="A36" s="2">
        <v>35</v>
      </c>
      <c r="B36" s="3" t="s">
        <v>43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5">
        <f t="shared" si="0"/>
        <v>1</v>
      </c>
    </row>
    <row r="37" spans="1:10" ht="15.75" x14ac:dyDescent="0.25">
      <c r="A37" s="2">
        <v>36</v>
      </c>
      <c r="B37" s="3" t="s">
        <v>44</v>
      </c>
      <c r="C37" s="2">
        <v>53</v>
      </c>
      <c r="D37" s="2">
        <v>32</v>
      </c>
      <c r="E37" s="2">
        <v>44</v>
      </c>
      <c r="F37" s="2">
        <v>3</v>
      </c>
      <c r="G37" s="2">
        <v>0</v>
      </c>
      <c r="H37" s="2">
        <v>30</v>
      </c>
      <c r="I37" s="2">
        <v>31</v>
      </c>
      <c r="J37" s="5">
        <f t="shared" si="0"/>
        <v>193</v>
      </c>
    </row>
    <row r="38" spans="1:10" ht="15.75" x14ac:dyDescent="0.25">
      <c r="A38" s="2">
        <v>37</v>
      </c>
      <c r="B38" s="3" t="s">
        <v>45</v>
      </c>
      <c r="C38" s="2">
        <v>48</v>
      </c>
      <c r="D38" s="2">
        <v>48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5">
        <f t="shared" si="0"/>
        <v>96</v>
      </c>
    </row>
    <row r="39" spans="1:10" ht="15.75" x14ac:dyDescent="0.25">
      <c r="A39" s="2">
        <v>38</v>
      </c>
      <c r="B39" s="3" t="s">
        <v>46</v>
      </c>
      <c r="C39" s="2">
        <v>82</v>
      </c>
      <c r="D39" s="2">
        <v>119</v>
      </c>
      <c r="E39" s="2">
        <v>78</v>
      </c>
      <c r="F39" s="2">
        <v>3</v>
      </c>
      <c r="G39" s="2">
        <v>0</v>
      </c>
      <c r="H39" s="2">
        <v>16</v>
      </c>
      <c r="I39" s="2">
        <v>38</v>
      </c>
      <c r="J39" s="5">
        <f t="shared" si="0"/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C172-876C-49BC-BB44-DD5AE903E570}">
  <dimension ref="A1:J39"/>
  <sheetViews>
    <sheetView workbookViewId="0">
      <selection activeCell="L22" sqref="L22"/>
    </sheetView>
  </sheetViews>
  <sheetFormatPr defaultRowHeight="15" x14ac:dyDescent="0.25"/>
  <cols>
    <col min="1" max="1" width="3.85546875" bestFit="1" customWidth="1"/>
    <col min="2" max="2" width="20" bestFit="1" customWidth="1"/>
    <col min="3" max="3" width="5.7109375" bestFit="1" customWidth="1"/>
    <col min="4" max="4" width="6.7109375" bestFit="1" customWidth="1"/>
    <col min="5" max="5" width="8.5703125" bestFit="1" customWidth="1"/>
    <col min="6" max="6" width="11.5703125" bestFit="1" customWidth="1"/>
    <col min="7" max="7" width="6.7109375" bestFit="1" customWidth="1"/>
    <col min="8" max="8" width="13.7109375" bestFit="1" customWidth="1"/>
    <col min="9" max="9" width="8.7109375" bestFit="1" customWidth="1"/>
    <col min="10" max="10" width="7.855468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50</v>
      </c>
    </row>
    <row r="2" spans="1:10" ht="15.75" x14ac:dyDescent="0.25">
      <c r="A2" s="2">
        <v>1</v>
      </c>
      <c r="B2" s="3" t="s">
        <v>9</v>
      </c>
      <c r="C2" s="2">
        <f>'2021'!C2+'2022'!C2+'2023'!C2+'2024'!C2+'2025'!C2</f>
        <v>1612</v>
      </c>
      <c r="D2" s="2">
        <f>'2021'!D2+'2022'!D2+'2023'!D2+'2024'!D2+'2025'!D2</f>
        <v>1823</v>
      </c>
      <c r="E2" s="2">
        <f>'2021'!E2+'2022'!E2+'2023'!E2+'2024'!E2+'2025'!E2</f>
        <v>1522</v>
      </c>
      <c r="F2" s="2">
        <f>'2021'!F2+'2022'!F2+'2023'!F2+'2024'!F2+'2025'!F2</f>
        <v>37</v>
      </c>
      <c r="G2" s="2">
        <f>'2021'!G2+'2022'!G2+'2023'!G2+'2024'!G2+'2025'!G2</f>
        <v>15</v>
      </c>
      <c r="H2" s="2">
        <f>'2021'!H2+'2022'!H2+'2023'!H2+'2024'!H2+'2025'!H2</f>
        <v>724</v>
      </c>
      <c r="I2" s="2">
        <f>'2021'!I2+'2022'!I2+'2023'!I2+'2024'!I2+'2025'!I2</f>
        <v>674</v>
      </c>
      <c r="J2" s="8" t="s">
        <v>49</v>
      </c>
    </row>
    <row r="3" spans="1:10" ht="15.75" x14ac:dyDescent="0.25">
      <c r="A3" s="2">
        <v>2</v>
      </c>
      <c r="B3" s="3" t="s">
        <v>10</v>
      </c>
      <c r="C3" s="2">
        <f>'2021'!C3+'2022'!C3+'2023'!C3+'2024'!C3+'2025'!C3</f>
        <v>3198</v>
      </c>
      <c r="D3" s="2">
        <f>'2021'!D3+'2022'!D3+'2023'!D3+'2024'!D3+'2025'!D3</f>
        <v>1641</v>
      </c>
      <c r="E3" s="2">
        <f>'2021'!E3+'2022'!E3+'2023'!E3+'2024'!E3+'2025'!E3</f>
        <v>3375</v>
      </c>
      <c r="F3" s="2">
        <f>'2021'!F3+'2022'!F3+'2023'!F3+'2024'!F3+'2025'!F3</f>
        <v>52</v>
      </c>
      <c r="G3" s="2">
        <f>'2021'!G3+'2022'!G3+'2023'!G3+'2024'!G3+'2025'!G3</f>
        <v>38</v>
      </c>
      <c r="H3" s="2">
        <f>'2021'!H3+'2022'!H3+'2023'!H3+'2024'!H3+'2025'!H3</f>
        <v>822</v>
      </c>
      <c r="I3" s="2">
        <f>'2021'!I3+'2022'!I3+'2023'!I3+'2024'!I3+'2025'!I3</f>
        <v>808</v>
      </c>
      <c r="J3" s="8" t="s">
        <v>49</v>
      </c>
    </row>
    <row r="4" spans="1:10" ht="15.75" x14ac:dyDescent="0.25">
      <c r="A4" s="2">
        <v>3</v>
      </c>
      <c r="B4" s="3" t="s">
        <v>11</v>
      </c>
      <c r="C4" s="2">
        <f>'2021'!C4+'2022'!C4+'2023'!C4+'2024'!C4+'2025'!C4</f>
        <v>1381</v>
      </c>
      <c r="D4" s="2">
        <f>'2021'!D4+'2022'!D4+'2023'!D4+'2024'!D4+'2025'!D4</f>
        <v>1243</v>
      </c>
      <c r="E4" s="2">
        <f>'2021'!E4+'2022'!E4+'2023'!E4+'2024'!E4+'2025'!E4</f>
        <v>2273</v>
      </c>
      <c r="F4" s="2">
        <f>'2021'!F4+'2022'!F4+'2023'!F4+'2024'!F4+'2025'!F4</f>
        <v>43</v>
      </c>
      <c r="G4" s="2">
        <f>'2021'!G4+'2022'!G4+'2023'!G4+'2024'!G4+'2025'!G4</f>
        <v>13</v>
      </c>
      <c r="H4" s="2">
        <f>'2021'!H4+'2022'!H4+'2023'!H4+'2024'!H4+'2025'!H4</f>
        <v>277</v>
      </c>
      <c r="I4" s="2">
        <f>'2021'!I4+'2022'!I4+'2023'!I4+'2024'!I4+'2025'!I4</f>
        <v>386</v>
      </c>
      <c r="J4" s="8" t="s">
        <v>49</v>
      </c>
    </row>
    <row r="5" spans="1:10" ht="15.75" x14ac:dyDescent="0.25">
      <c r="A5" s="2">
        <v>4</v>
      </c>
      <c r="B5" s="3" t="s">
        <v>12</v>
      </c>
      <c r="C5" s="2">
        <f>'2021'!C5+'2022'!C5+'2023'!C5+'2024'!C5+'2025'!C5</f>
        <v>1004</v>
      </c>
      <c r="D5" s="2">
        <f>'2021'!D5+'2022'!D5+'2023'!D5+'2024'!D5+'2025'!D5</f>
        <v>1251</v>
      </c>
      <c r="E5" s="2">
        <f>'2021'!E5+'2022'!E5+'2023'!E5+'2024'!E5+'2025'!E5</f>
        <v>2521</v>
      </c>
      <c r="F5" s="2">
        <f>'2021'!F5+'2022'!F5+'2023'!F5+'2024'!F5+'2025'!F5</f>
        <v>85</v>
      </c>
      <c r="G5" s="2">
        <f>'2021'!G5+'2022'!G5+'2023'!G5+'2024'!G5+'2025'!G5</f>
        <v>31</v>
      </c>
      <c r="H5" s="2">
        <f>'2021'!H5+'2022'!H5+'2023'!H5+'2024'!H5+'2025'!H5</f>
        <v>307</v>
      </c>
      <c r="I5" s="2">
        <f>'2021'!I5+'2022'!I5+'2023'!I5+'2024'!I5+'2025'!I5</f>
        <v>1003</v>
      </c>
      <c r="J5" s="8" t="s">
        <v>49</v>
      </c>
    </row>
    <row r="6" spans="1:10" ht="15.75" x14ac:dyDescent="0.25">
      <c r="A6" s="2">
        <v>5</v>
      </c>
      <c r="B6" s="3" t="s">
        <v>13</v>
      </c>
      <c r="C6" s="2">
        <f>'2021'!C6+'2022'!C6+'2023'!C6+'2024'!C6+'2025'!C6</f>
        <v>743</v>
      </c>
      <c r="D6" s="2">
        <f>'2021'!D6+'2022'!D6+'2023'!D6+'2024'!D6+'2025'!D6</f>
        <v>643</v>
      </c>
      <c r="E6" s="2">
        <f>'2021'!E6+'2022'!E6+'2023'!E6+'2024'!E6+'2025'!E6</f>
        <v>1262</v>
      </c>
      <c r="F6" s="2">
        <f>'2021'!F6+'2022'!F6+'2023'!F6+'2024'!F6+'2025'!F6</f>
        <v>30</v>
      </c>
      <c r="G6" s="2">
        <f>'2021'!G6+'2022'!G6+'2023'!G6+'2024'!G6+'2025'!G6</f>
        <v>219</v>
      </c>
      <c r="H6" s="2">
        <f>'2021'!H6+'2022'!H6+'2023'!H6+'2024'!H6+'2025'!H6</f>
        <v>150</v>
      </c>
      <c r="I6" s="2">
        <f>'2021'!I6+'2022'!I6+'2023'!I6+'2024'!I6+'2025'!I6</f>
        <v>366</v>
      </c>
      <c r="J6" s="8" t="s">
        <v>48</v>
      </c>
    </row>
    <row r="7" spans="1:10" ht="15.75" x14ac:dyDescent="0.25">
      <c r="A7" s="2">
        <v>6</v>
      </c>
      <c r="B7" s="3" t="s">
        <v>14</v>
      </c>
      <c r="C7" s="2">
        <f>'2021'!C7+'2022'!C7+'2023'!C7+'2024'!C7+'2025'!C7</f>
        <v>794</v>
      </c>
      <c r="D7" s="2">
        <f>'2021'!D7+'2022'!D7+'2023'!D7+'2024'!D7+'2025'!D7</f>
        <v>637</v>
      </c>
      <c r="E7" s="2">
        <f>'2021'!E7+'2022'!E7+'2023'!E7+'2024'!E7+'2025'!E7</f>
        <v>1015</v>
      </c>
      <c r="F7" s="2">
        <f>'2021'!F7+'2022'!F7+'2023'!F7+'2024'!F7+'2025'!F7</f>
        <v>15</v>
      </c>
      <c r="G7" s="2">
        <f>'2021'!G7+'2022'!G7+'2023'!G7+'2024'!G7+'2025'!G7</f>
        <v>63</v>
      </c>
      <c r="H7" s="2">
        <f>'2021'!H7+'2022'!H7+'2023'!H7+'2024'!H7+'2025'!H7</f>
        <v>157</v>
      </c>
      <c r="I7" s="2">
        <f>'2021'!I7+'2022'!I7+'2023'!I7+'2024'!I7+'2025'!I7</f>
        <v>175</v>
      </c>
      <c r="J7" s="8" t="s">
        <v>48</v>
      </c>
    </row>
    <row r="8" spans="1:10" ht="15.75" x14ac:dyDescent="0.25">
      <c r="A8" s="2">
        <v>7</v>
      </c>
      <c r="B8" s="3" t="s">
        <v>15</v>
      </c>
      <c r="C8" s="2">
        <f>'2021'!C8+'2022'!C8+'2023'!C8+'2024'!C8+'2025'!C8</f>
        <v>496</v>
      </c>
      <c r="D8" s="2">
        <f>'2021'!D8+'2022'!D8+'2023'!D8+'2024'!D8+'2025'!D8</f>
        <v>306</v>
      </c>
      <c r="E8" s="2">
        <f>'2021'!E8+'2022'!E8+'2023'!E8+'2024'!E8+'2025'!E8</f>
        <v>708</v>
      </c>
      <c r="F8" s="2">
        <f>'2021'!F8+'2022'!F8+'2023'!F8+'2024'!F8+'2025'!F8</f>
        <v>27</v>
      </c>
      <c r="G8" s="2">
        <f>'2021'!G8+'2022'!G8+'2023'!G8+'2024'!G8+'2025'!G8</f>
        <v>21</v>
      </c>
      <c r="H8" s="2">
        <f>'2021'!H8+'2022'!H8+'2023'!H8+'2024'!H8+'2025'!H8</f>
        <v>83</v>
      </c>
      <c r="I8" s="2">
        <f>'2021'!I8+'2022'!I8+'2023'!I8+'2024'!I8+'2025'!I8</f>
        <v>104</v>
      </c>
      <c r="J8" s="8" t="s">
        <v>48</v>
      </c>
    </row>
    <row r="9" spans="1:10" ht="15.75" x14ac:dyDescent="0.25">
      <c r="A9" s="2">
        <v>8</v>
      </c>
      <c r="B9" s="3" t="s">
        <v>16</v>
      </c>
      <c r="C9" s="2">
        <f>'2021'!C9+'2022'!C9+'2023'!C9+'2024'!C9+'2025'!C9</f>
        <v>1175</v>
      </c>
      <c r="D9" s="2">
        <f>'2021'!D9+'2022'!D9+'2023'!D9+'2024'!D9+'2025'!D9</f>
        <v>685</v>
      </c>
      <c r="E9" s="2">
        <f>'2021'!E9+'2022'!E9+'2023'!E9+'2024'!E9+'2025'!E9</f>
        <v>1155</v>
      </c>
      <c r="F9" s="2">
        <f>'2021'!F9+'2022'!F9+'2023'!F9+'2024'!F9+'2025'!F9</f>
        <v>21</v>
      </c>
      <c r="G9" s="2">
        <f>'2021'!G9+'2022'!G9+'2023'!G9+'2024'!G9+'2025'!G9</f>
        <v>24</v>
      </c>
      <c r="H9" s="2">
        <f>'2021'!H9+'2022'!H9+'2023'!H9+'2024'!H9+'2025'!H9</f>
        <v>179</v>
      </c>
      <c r="I9" s="2">
        <f>'2021'!I9+'2022'!I9+'2023'!I9+'2024'!I9+'2025'!I9</f>
        <v>249</v>
      </c>
      <c r="J9" s="8" t="s">
        <v>48</v>
      </c>
    </row>
    <row r="10" spans="1:10" ht="15.75" x14ac:dyDescent="0.25">
      <c r="A10" s="2">
        <v>9</v>
      </c>
      <c r="B10" s="3" t="s">
        <v>17</v>
      </c>
      <c r="C10" s="2">
        <f>'2021'!C10+'2022'!C10+'2023'!C10+'2024'!C10+'2025'!C10</f>
        <v>1058</v>
      </c>
      <c r="D10" s="2">
        <f>'2021'!D10+'2022'!D10+'2023'!D10+'2024'!D10+'2025'!D10</f>
        <v>773</v>
      </c>
      <c r="E10" s="2">
        <f>'2021'!E10+'2022'!E10+'2023'!E10+'2024'!E10+'2025'!E10</f>
        <v>2537</v>
      </c>
      <c r="F10" s="2">
        <f>'2021'!F10+'2022'!F10+'2023'!F10+'2024'!F10+'2025'!F10</f>
        <v>28</v>
      </c>
      <c r="G10" s="2">
        <f>'2021'!G10+'2022'!G10+'2023'!G10+'2024'!G10+'2025'!G10</f>
        <v>52</v>
      </c>
      <c r="H10" s="2">
        <f>'2021'!H10+'2022'!H10+'2023'!H10+'2024'!H10+'2025'!H10</f>
        <v>57</v>
      </c>
      <c r="I10" s="2">
        <f>'2021'!I10+'2022'!I10+'2023'!I10+'2024'!I10+'2025'!I10</f>
        <v>202</v>
      </c>
      <c r="J10" s="8" t="s">
        <v>48</v>
      </c>
    </row>
    <row r="11" spans="1:10" ht="15.75" x14ac:dyDescent="0.25">
      <c r="A11" s="2">
        <v>10</v>
      </c>
      <c r="B11" s="3" t="s">
        <v>18</v>
      </c>
      <c r="C11" s="2">
        <f>'2021'!C11+'2022'!C11+'2023'!C11+'2024'!C11+'2025'!C11</f>
        <v>658</v>
      </c>
      <c r="D11" s="2">
        <f>'2021'!D11+'2022'!D11+'2023'!D11+'2024'!D11+'2025'!D11</f>
        <v>416</v>
      </c>
      <c r="E11" s="2">
        <f>'2021'!E11+'2022'!E11+'2023'!E11+'2024'!E11+'2025'!E11</f>
        <v>503</v>
      </c>
      <c r="F11" s="2">
        <f>'2021'!F11+'2022'!F11+'2023'!F11+'2024'!F11+'2025'!F11</f>
        <v>11</v>
      </c>
      <c r="G11" s="2">
        <f>'2021'!G11+'2022'!G11+'2023'!G11+'2024'!G11+'2025'!G11</f>
        <v>24</v>
      </c>
      <c r="H11" s="2">
        <f>'2021'!H11+'2022'!H11+'2023'!H11+'2024'!H11+'2025'!H11</f>
        <v>66</v>
      </c>
      <c r="I11" s="2">
        <f>'2021'!I11+'2022'!I11+'2023'!I11+'2024'!I11+'2025'!I11</f>
        <v>130</v>
      </c>
      <c r="J11" s="8" t="s">
        <v>48</v>
      </c>
    </row>
    <row r="12" spans="1:10" ht="15.75" x14ac:dyDescent="0.25">
      <c r="A12" s="2">
        <v>11</v>
      </c>
      <c r="B12" s="3" t="s">
        <v>19</v>
      </c>
      <c r="C12" s="2">
        <f>'2021'!C12+'2022'!C12+'2023'!C12+'2024'!C12+'2025'!C12</f>
        <v>1728</v>
      </c>
      <c r="D12" s="2">
        <f>'2021'!D12+'2022'!D12+'2023'!D12+'2024'!D12+'2025'!D12</f>
        <v>1985</v>
      </c>
      <c r="E12" s="2">
        <f>'2021'!E12+'2022'!E12+'2023'!E12+'2024'!E12+'2025'!E12</f>
        <v>2634</v>
      </c>
      <c r="F12" s="2">
        <f>'2021'!F12+'2022'!F12+'2023'!F12+'2024'!F12+'2025'!F12</f>
        <v>52</v>
      </c>
      <c r="G12" s="2">
        <f>'2021'!G12+'2022'!G12+'2023'!G12+'2024'!G12+'2025'!G12</f>
        <v>70</v>
      </c>
      <c r="H12" s="2">
        <f>'2021'!H12+'2022'!H12+'2023'!H12+'2024'!H12+'2025'!H12</f>
        <v>277</v>
      </c>
      <c r="I12" s="2">
        <f>'2021'!I12+'2022'!I12+'2023'!I12+'2024'!I12+'2025'!I12</f>
        <v>359</v>
      </c>
      <c r="J12" s="8" t="s">
        <v>49</v>
      </c>
    </row>
    <row r="13" spans="1:10" ht="15.75" x14ac:dyDescent="0.25">
      <c r="A13" s="2">
        <v>12</v>
      </c>
      <c r="B13" s="3" t="s">
        <v>20</v>
      </c>
      <c r="C13" s="2">
        <f>'2021'!C13+'2022'!C13+'2023'!C13+'2024'!C13+'2025'!C13</f>
        <v>2968</v>
      </c>
      <c r="D13" s="2">
        <f>'2021'!D13+'2022'!D13+'2023'!D13+'2024'!D13+'2025'!D13</f>
        <v>2922</v>
      </c>
      <c r="E13" s="2">
        <f>'2021'!E13+'2022'!E13+'2023'!E13+'2024'!E13+'2025'!E13</f>
        <v>2945</v>
      </c>
      <c r="F13" s="2">
        <f>'2021'!F13+'2022'!F13+'2023'!F13+'2024'!F13+'2025'!F13</f>
        <v>136</v>
      </c>
      <c r="G13" s="2">
        <f>'2021'!G13+'2022'!G13+'2023'!G13+'2024'!G13+'2025'!G13</f>
        <v>539</v>
      </c>
      <c r="H13" s="2">
        <f>'2021'!H13+'2022'!H13+'2023'!H13+'2024'!H13+'2025'!H13</f>
        <v>330</v>
      </c>
      <c r="I13" s="2">
        <f>'2021'!I13+'2022'!I13+'2023'!I13+'2024'!I13+'2025'!I13</f>
        <v>276</v>
      </c>
      <c r="J13" s="8" t="s">
        <v>47</v>
      </c>
    </row>
    <row r="14" spans="1:10" ht="15.75" x14ac:dyDescent="0.25">
      <c r="A14" s="2">
        <v>13</v>
      </c>
      <c r="B14" s="3" t="s">
        <v>21</v>
      </c>
      <c r="C14" s="2">
        <f>'2021'!C14+'2022'!C14+'2023'!C14+'2024'!C14+'2025'!C14</f>
        <v>3461</v>
      </c>
      <c r="D14" s="2">
        <f>'2021'!D14+'2022'!D14+'2023'!D14+'2024'!D14+'2025'!D14</f>
        <v>3700</v>
      </c>
      <c r="E14" s="2">
        <f>'2021'!E14+'2022'!E14+'2023'!E14+'2024'!E14+'2025'!E14</f>
        <v>5841</v>
      </c>
      <c r="F14" s="2">
        <f>'2021'!F14+'2022'!F14+'2023'!F14+'2024'!F14+'2025'!F14</f>
        <v>171</v>
      </c>
      <c r="G14" s="2">
        <f>'2021'!G14+'2022'!G14+'2023'!G14+'2024'!G14+'2025'!G14</f>
        <v>330</v>
      </c>
      <c r="H14" s="2">
        <f>'2021'!H14+'2022'!H14+'2023'!H14+'2024'!H14+'2025'!H14</f>
        <v>898</v>
      </c>
      <c r="I14" s="2">
        <f>'2021'!I14+'2022'!I14+'2023'!I14+'2024'!I14+'2025'!I14</f>
        <v>2371</v>
      </c>
      <c r="J14" s="8" t="s">
        <v>47</v>
      </c>
    </row>
    <row r="15" spans="1:10" ht="15.75" x14ac:dyDescent="0.25">
      <c r="A15" s="2">
        <v>14</v>
      </c>
      <c r="B15" s="3" t="s">
        <v>22</v>
      </c>
      <c r="C15" s="2">
        <f>'2021'!C15+'2022'!C15+'2023'!C15+'2024'!C15+'2025'!C15</f>
        <v>4038</v>
      </c>
      <c r="D15" s="2">
        <f>'2021'!D15+'2022'!D15+'2023'!D15+'2024'!D15+'2025'!D15</f>
        <v>3960</v>
      </c>
      <c r="E15" s="2">
        <f>'2021'!E15+'2022'!E15+'2023'!E15+'2024'!E15+'2025'!E15</f>
        <v>4910</v>
      </c>
      <c r="F15" s="2">
        <f>'2021'!F15+'2022'!F15+'2023'!F15+'2024'!F15+'2025'!F15</f>
        <v>142</v>
      </c>
      <c r="G15" s="2">
        <f>'2021'!G15+'2022'!G15+'2023'!G15+'2024'!G15+'2025'!G15</f>
        <v>67</v>
      </c>
      <c r="H15" s="2">
        <f>'2021'!H15+'2022'!H15+'2023'!H15+'2024'!H15+'2025'!H15</f>
        <v>943</v>
      </c>
      <c r="I15" s="2">
        <f>'2021'!I15+'2022'!I15+'2023'!I15+'2024'!I15+'2025'!I15</f>
        <v>825</v>
      </c>
      <c r="J15" s="8" t="s">
        <v>47</v>
      </c>
    </row>
    <row r="16" spans="1:10" ht="15.75" x14ac:dyDescent="0.25">
      <c r="A16" s="2">
        <v>15</v>
      </c>
      <c r="B16" s="3" t="s">
        <v>23</v>
      </c>
      <c r="C16" s="2">
        <f>'2021'!C16+'2022'!C16+'2023'!C16+'2024'!C16+'2025'!C16</f>
        <v>4497</v>
      </c>
      <c r="D16" s="2">
        <f>'2021'!D16+'2022'!D16+'2023'!D16+'2024'!D16+'2025'!D16</f>
        <v>3887</v>
      </c>
      <c r="E16" s="2">
        <f>'2021'!E16+'2022'!E16+'2023'!E16+'2024'!E16+'2025'!E16</f>
        <v>4533</v>
      </c>
      <c r="F16" s="2">
        <f>'2021'!F16+'2022'!F16+'2023'!F16+'2024'!F16+'2025'!F16</f>
        <v>166</v>
      </c>
      <c r="G16" s="2">
        <f>'2021'!G16+'2022'!G16+'2023'!G16+'2024'!G16+'2025'!G16</f>
        <v>202</v>
      </c>
      <c r="H16" s="2">
        <f>'2021'!H16+'2022'!H16+'2023'!H16+'2024'!H16+'2025'!H16</f>
        <v>1176</v>
      </c>
      <c r="I16" s="2">
        <f>'2021'!I16+'2022'!I16+'2023'!I16+'2024'!I16+'2025'!I16</f>
        <v>1523</v>
      </c>
      <c r="J16" s="8" t="s">
        <v>47</v>
      </c>
    </row>
    <row r="17" spans="1:10" ht="15.75" x14ac:dyDescent="0.25">
      <c r="A17" s="2">
        <v>16</v>
      </c>
      <c r="B17" s="3" t="s">
        <v>24</v>
      </c>
      <c r="C17" s="2">
        <f>'2021'!C17+'2022'!C17+'2023'!C17+'2024'!C17+'2025'!C17</f>
        <v>1844</v>
      </c>
      <c r="D17" s="2">
        <f>'2021'!D17+'2022'!D17+'2023'!D17+'2024'!D17+'2025'!D17</f>
        <v>2383</v>
      </c>
      <c r="E17" s="2">
        <f>'2021'!E17+'2022'!E17+'2023'!E17+'2024'!E17+'2025'!E17</f>
        <v>1776</v>
      </c>
      <c r="F17" s="2">
        <f>'2021'!F17+'2022'!F17+'2023'!F17+'2024'!F17+'2025'!F17</f>
        <v>31</v>
      </c>
      <c r="G17" s="2">
        <f>'2021'!G17+'2022'!G17+'2023'!G17+'2024'!G17+'2025'!G17</f>
        <v>31</v>
      </c>
      <c r="H17" s="2">
        <f>'2021'!H17+'2022'!H17+'2023'!H17+'2024'!H17+'2025'!H17</f>
        <v>284</v>
      </c>
      <c r="I17" s="2">
        <f>'2021'!I17+'2022'!I17+'2023'!I17+'2024'!I17+'2025'!I17</f>
        <v>279</v>
      </c>
      <c r="J17" s="8" t="s">
        <v>49</v>
      </c>
    </row>
    <row r="18" spans="1:10" ht="15.75" x14ac:dyDescent="0.25">
      <c r="A18" s="2">
        <v>17</v>
      </c>
      <c r="B18" s="3" t="s">
        <v>25</v>
      </c>
      <c r="C18" s="2">
        <f>'2021'!C18+'2022'!C18+'2023'!C18+'2024'!C18+'2025'!C18</f>
        <v>596</v>
      </c>
      <c r="D18" s="2">
        <f>'2021'!D18+'2022'!D18+'2023'!D18+'2024'!D18+'2025'!D18</f>
        <v>1000</v>
      </c>
      <c r="E18" s="2">
        <f>'2021'!E18+'2022'!E18+'2023'!E18+'2024'!E18+'2025'!E18</f>
        <v>479</v>
      </c>
      <c r="F18" s="2">
        <f>'2021'!F18+'2022'!F18+'2023'!F18+'2024'!F18+'2025'!F18</f>
        <v>16</v>
      </c>
      <c r="G18" s="2">
        <f>'2021'!G18+'2022'!G18+'2023'!G18+'2024'!G18+'2025'!G18</f>
        <v>23</v>
      </c>
      <c r="H18" s="2">
        <f>'2021'!H18+'2022'!H18+'2023'!H18+'2024'!H18+'2025'!H18</f>
        <v>193</v>
      </c>
      <c r="I18" s="2">
        <f>'2021'!I18+'2022'!I18+'2023'!I18+'2024'!I18+'2025'!I18</f>
        <v>362</v>
      </c>
      <c r="J18" s="8" t="s">
        <v>48</v>
      </c>
    </row>
    <row r="19" spans="1:10" ht="15.75" x14ac:dyDescent="0.25">
      <c r="A19" s="2">
        <v>18</v>
      </c>
      <c r="B19" s="3" t="s">
        <v>26</v>
      </c>
      <c r="C19" s="2">
        <f>'2021'!C19+'2022'!C19+'2023'!C19+'2024'!C19+'2025'!C19</f>
        <v>1374</v>
      </c>
      <c r="D19" s="2">
        <f>'2021'!D19+'2022'!D19+'2023'!D19+'2024'!D19+'2025'!D19</f>
        <v>840</v>
      </c>
      <c r="E19" s="2">
        <f>'2021'!E19+'2022'!E19+'2023'!E19+'2024'!E19+'2025'!E19</f>
        <v>1678</v>
      </c>
      <c r="F19" s="2">
        <f>'2021'!F19+'2022'!F19+'2023'!F19+'2024'!F19+'2025'!F19</f>
        <v>46</v>
      </c>
      <c r="G19" s="2">
        <f>'2021'!G19+'2022'!G19+'2023'!G19+'2024'!G19+'2025'!G19</f>
        <v>116</v>
      </c>
      <c r="H19" s="2">
        <f>'2021'!H19+'2022'!H19+'2023'!H19+'2024'!H19+'2025'!H19</f>
        <v>268</v>
      </c>
      <c r="I19" s="2">
        <f>'2021'!I19+'2022'!I19+'2023'!I19+'2024'!I19+'2025'!I19</f>
        <v>1405</v>
      </c>
      <c r="J19" s="8" t="s">
        <v>49</v>
      </c>
    </row>
    <row r="20" spans="1:10" ht="15.75" x14ac:dyDescent="0.25">
      <c r="A20" s="2">
        <v>19</v>
      </c>
      <c r="B20" s="3" t="s">
        <v>27</v>
      </c>
      <c r="C20" s="2">
        <f>'2021'!C20+'2022'!C20+'2023'!C20+'2024'!C20+'2025'!C20</f>
        <v>1899</v>
      </c>
      <c r="D20" s="2">
        <f>'2021'!D20+'2022'!D20+'2023'!D20+'2024'!D20+'2025'!D20</f>
        <v>2255</v>
      </c>
      <c r="E20" s="2">
        <f>'2021'!E20+'2022'!E20+'2023'!E20+'2024'!E20+'2025'!E20</f>
        <v>2106</v>
      </c>
      <c r="F20" s="2">
        <f>'2021'!F20+'2022'!F20+'2023'!F20+'2024'!F20+'2025'!F20</f>
        <v>79</v>
      </c>
      <c r="G20" s="2">
        <f>'2021'!G20+'2022'!G20+'2023'!G20+'2024'!G20+'2025'!G20</f>
        <v>17</v>
      </c>
      <c r="H20" s="2">
        <f>'2021'!H20+'2022'!H20+'2023'!H20+'2024'!H20+'2025'!H20</f>
        <v>478</v>
      </c>
      <c r="I20" s="2">
        <f>'2021'!I20+'2022'!I20+'2023'!I20+'2024'!I20+'2025'!I20</f>
        <v>335</v>
      </c>
      <c r="J20" s="8" t="s">
        <v>49</v>
      </c>
    </row>
    <row r="21" spans="1:10" ht="15.75" x14ac:dyDescent="0.25">
      <c r="A21" s="2">
        <v>20</v>
      </c>
      <c r="B21" s="3" t="s">
        <v>28</v>
      </c>
      <c r="C21" s="2">
        <f>'2021'!C21+'2022'!C21+'2023'!C21+'2024'!C21+'2025'!C21</f>
        <v>759</v>
      </c>
      <c r="D21" s="2">
        <f>'2021'!D21+'2022'!D21+'2023'!D21+'2024'!D21+'2025'!D21</f>
        <v>443</v>
      </c>
      <c r="E21" s="2">
        <f>'2021'!E21+'2022'!E21+'2023'!E21+'2024'!E21+'2025'!E21</f>
        <v>1446</v>
      </c>
      <c r="F21" s="2">
        <f>'2021'!F21+'2022'!F21+'2023'!F21+'2024'!F21+'2025'!F21</f>
        <v>91</v>
      </c>
      <c r="G21" s="2">
        <f>'2021'!G21+'2022'!G21+'2023'!G21+'2024'!G21+'2025'!G21</f>
        <v>71</v>
      </c>
      <c r="H21" s="2">
        <f>'2021'!H21+'2022'!H21+'2023'!H21+'2024'!H21+'2025'!H21</f>
        <v>256</v>
      </c>
      <c r="I21" s="2">
        <f>'2021'!I21+'2022'!I21+'2023'!I21+'2024'!I21+'2025'!I21</f>
        <v>301</v>
      </c>
      <c r="J21" s="8" t="s">
        <v>49</v>
      </c>
    </row>
    <row r="22" spans="1:10" ht="15.75" x14ac:dyDescent="0.25">
      <c r="A22" s="2">
        <v>21</v>
      </c>
      <c r="B22" s="3" t="s">
        <v>29</v>
      </c>
      <c r="C22" s="2">
        <f>'2021'!C22+'2022'!C22+'2023'!C22+'2024'!C22+'2025'!C22</f>
        <v>491</v>
      </c>
      <c r="D22" s="2">
        <f>'2021'!D22+'2022'!D22+'2023'!D22+'2024'!D22+'2025'!D22</f>
        <v>456</v>
      </c>
      <c r="E22" s="2">
        <f>'2021'!E22+'2022'!E22+'2023'!E22+'2024'!E22+'2025'!E22</f>
        <v>836</v>
      </c>
      <c r="F22" s="2">
        <f>'2021'!F22+'2022'!F22+'2023'!F22+'2024'!F22+'2025'!F22</f>
        <v>26</v>
      </c>
      <c r="G22" s="2">
        <f>'2021'!G22+'2022'!G22+'2023'!G22+'2024'!G22+'2025'!G22</f>
        <v>17</v>
      </c>
      <c r="H22" s="2">
        <f>'2021'!H22+'2022'!H22+'2023'!H22+'2024'!H22+'2025'!H22</f>
        <v>95</v>
      </c>
      <c r="I22" s="2">
        <f>'2021'!I22+'2022'!I22+'2023'!I22+'2024'!I22+'2025'!I22</f>
        <v>273</v>
      </c>
      <c r="J22" s="8" t="s">
        <v>48</v>
      </c>
    </row>
    <row r="23" spans="1:10" ht="15.75" x14ac:dyDescent="0.25">
      <c r="A23" s="2">
        <v>22</v>
      </c>
      <c r="B23" s="3" t="s">
        <v>30</v>
      </c>
      <c r="C23" s="2">
        <f>'2021'!C23+'2022'!C23+'2023'!C23+'2024'!C23+'2025'!C23</f>
        <v>860</v>
      </c>
      <c r="D23" s="2">
        <f>'2021'!D23+'2022'!D23+'2023'!D23+'2024'!D23+'2025'!D23</f>
        <v>1263</v>
      </c>
      <c r="E23" s="2">
        <f>'2021'!E23+'2022'!E23+'2023'!E23+'2024'!E23+'2025'!E23</f>
        <v>1065</v>
      </c>
      <c r="F23" s="2">
        <f>'2021'!F23+'2022'!F23+'2023'!F23+'2024'!F23+'2025'!F23</f>
        <v>74</v>
      </c>
      <c r="G23" s="2">
        <f>'2021'!G23+'2022'!G23+'2023'!G23+'2024'!G23+'2025'!G23</f>
        <v>17</v>
      </c>
      <c r="H23" s="2">
        <f>'2021'!H23+'2022'!H23+'2023'!H23+'2024'!H23+'2025'!H23</f>
        <v>283</v>
      </c>
      <c r="I23" s="2">
        <f>'2021'!I23+'2022'!I23+'2023'!I23+'2024'!I23+'2025'!I23</f>
        <v>635</v>
      </c>
      <c r="J23" s="8" t="s">
        <v>49</v>
      </c>
    </row>
    <row r="24" spans="1:10" ht="15.75" x14ac:dyDescent="0.25">
      <c r="A24" s="2">
        <v>23</v>
      </c>
      <c r="B24" s="3" t="s">
        <v>31</v>
      </c>
      <c r="C24" s="2">
        <f>'2021'!C24+'2022'!C24+'2023'!C24+'2024'!C24+'2025'!C24</f>
        <v>679</v>
      </c>
      <c r="D24" s="2">
        <f>'2021'!D24+'2022'!D24+'2023'!D24+'2024'!D24+'2025'!D24</f>
        <v>382</v>
      </c>
      <c r="E24" s="2">
        <f>'2021'!E24+'2022'!E24+'2023'!E24+'2024'!E24+'2025'!E24</f>
        <v>554</v>
      </c>
      <c r="F24" s="2">
        <f>'2021'!F24+'2022'!F24+'2023'!F24+'2024'!F24+'2025'!F24</f>
        <v>20</v>
      </c>
      <c r="G24" s="2">
        <f>'2021'!G24+'2022'!G24+'2023'!G24+'2024'!G24+'2025'!G24</f>
        <v>43</v>
      </c>
      <c r="H24" s="2">
        <f>'2021'!H24+'2022'!H24+'2023'!H24+'2024'!H24+'2025'!H24</f>
        <v>90</v>
      </c>
      <c r="I24" s="2">
        <f>'2021'!I24+'2022'!I24+'2023'!I24+'2024'!I24+'2025'!I24</f>
        <v>99</v>
      </c>
      <c r="J24" s="8" t="s">
        <v>48</v>
      </c>
    </row>
    <row r="25" spans="1:10" ht="15.75" x14ac:dyDescent="0.25">
      <c r="A25" s="2">
        <v>24</v>
      </c>
      <c r="B25" s="3" t="s">
        <v>32</v>
      </c>
      <c r="C25" s="2">
        <f>'2021'!C25+'2022'!C25+'2023'!C25+'2024'!C25+'2025'!C25</f>
        <v>2061</v>
      </c>
      <c r="D25" s="2">
        <f>'2021'!D25+'2022'!D25+'2023'!D25+'2024'!D25+'2025'!D25</f>
        <v>1133</v>
      </c>
      <c r="E25" s="2">
        <f>'2021'!E25+'2022'!E25+'2023'!E25+'2024'!E25+'2025'!E25</f>
        <v>2034</v>
      </c>
      <c r="F25" s="2">
        <f>'2021'!F25+'2022'!F25+'2023'!F25+'2024'!F25+'2025'!F25</f>
        <v>99</v>
      </c>
      <c r="G25" s="2">
        <f>'2021'!G25+'2022'!G25+'2023'!G25+'2024'!G25+'2025'!G25</f>
        <v>53</v>
      </c>
      <c r="H25" s="2">
        <f>'2021'!H25+'2022'!H25+'2023'!H25+'2024'!H25+'2025'!H25</f>
        <v>196</v>
      </c>
      <c r="I25" s="2">
        <f>'2021'!I25+'2022'!I25+'2023'!I25+'2024'!I25+'2025'!I25</f>
        <v>241</v>
      </c>
      <c r="J25" s="8" t="s">
        <v>49</v>
      </c>
    </row>
    <row r="26" spans="1:10" ht="15.75" x14ac:dyDescent="0.25">
      <c r="A26" s="2">
        <v>25</v>
      </c>
      <c r="B26" s="3" t="s">
        <v>33</v>
      </c>
      <c r="C26" s="2">
        <f>'2021'!C26+'2022'!C26+'2023'!C26+'2024'!C26+'2025'!C26</f>
        <v>3188</v>
      </c>
      <c r="D26" s="2">
        <f>'2021'!D26+'2022'!D26+'2023'!D26+'2024'!D26+'2025'!D26</f>
        <v>2298</v>
      </c>
      <c r="E26" s="2">
        <f>'2021'!E26+'2022'!E26+'2023'!E26+'2024'!E26+'2025'!E26</f>
        <v>2541</v>
      </c>
      <c r="F26" s="2">
        <f>'2021'!F26+'2022'!F26+'2023'!F26+'2024'!F26+'2025'!F26</f>
        <v>60</v>
      </c>
      <c r="G26" s="2">
        <f>'2021'!G26+'2022'!G26+'2023'!G26+'2024'!G26+'2025'!G26</f>
        <v>126</v>
      </c>
      <c r="H26" s="2">
        <f>'2021'!H26+'2022'!H26+'2023'!H26+'2024'!H26+'2025'!H26</f>
        <v>575</v>
      </c>
      <c r="I26" s="2">
        <f>'2021'!I26+'2022'!I26+'2023'!I26+'2024'!I26+'2025'!I26</f>
        <v>631</v>
      </c>
      <c r="J26" s="8" t="s">
        <v>49</v>
      </c>
    </row>
    <row r="27" spans="1:10" ht="15.75" x14ac:dyDescent="0.25">
      <c r="A27" s="2">
        <v>26</v>
      </c>
      <c r="B27" s="3" t="s">
        <v>34</v>
      </c>
      <c r="C27" s="2">
        <f>'2021'!C27+'2022'!C27+'2023'!C27+'2024'!C27+'2025'!C27</f>
        <v>483</v>
      </c>
      <c r="D27" s="2">
        <f>'2021'!D27+'2022'!D27+'2023'!D27+'2024'!D27+'2025'!D27</f>
        <v>183</v>
      </c>
      <c r="E27" s="2">
        <f>'2021'!E27+'2022'!E27+'2023'!E27+'2024'!E27+'2025'!E27</f>
        <v>320</v>
      </c>
      <c r="F27" s="2">
        <f>'2021'!F27+'2022'!F27+'2023'!F27+'2024'!F27+'2025'!F27</f>
        <v>7</v>
      </c>
      <c r="G27" s="2">
        <f>'2021'!G27+'2022'!G27+'2023'!G27+'2024'!G27+'2025'!G27</f>
        <v>7</v>
      </c>
      <c r="H27" s="2">
        <f>'2021'!H27+'2022'!H27+'2023'!H27+'2024'!H27+'2025'!H27</f>
        <v>53</v>
      </c>
      <c r="I27" s="2">
        <f>'2021'!I27+'2022'!I27+'2023'!I27+'2024'!I27+'2025'!I27</f>
        <v>63</v>
      </c>
      <c r="J27" s="8" t="s">
        <v>48</v>
      </c>
    </row>
    <row r="28" spans="1:10" ht="15.75" x14ac:dyDescent="0.25">
      <c r="A28" s="2">
        <v>27</v>
      </c>
      <c r="B28" s="3" t="s">
        <v>35</v>
      </c>
      <c r="C28" s="2">
        <f>'2021'!C28+'2022'!C28+'2023'!C28+'2024'!C28+'2025'!C28</f>
        <v>1421</v>
      </c>
      <c r="D28" s="2">
        <f>'2021'!D28+'2022'!D28+'2023'!D28+'2024'!D28+'2025'!D28</f>
        <v>1164</v>
      </c>
      <c r="E28" s="2">
        <f>'2021'!E28+'2022'!E28+'2023'!E28+'2024'!E28+'2025'!E28</f>
        <v>1472</v>
      </c>
      <c r="F28" s="2">
        <f>'2021'!F28+'2022'!F28+'2023'!F28+'2024'!F28+'2025'!F28</f>
        <v>36</v>
      </c>
      <c r="G28" s="2">
        <f>'2021'!G28+'2022'!G28+'2023'!G28+'2024'!G28+'2025'!G28</f>
        <v>20</v>
      </c>
      <c r="H28" s="2">
        <f>'2021'!H28+'2022'!H28+'2023'!H28+'2024'!H28+'2025'!H28</f>
        <v>267</v>
      </c>
      <c r="I28" s="2">
        <f>'2021'!I28+'2022'!I28+'2023'!I28+'2024'!I28+'2025'!I28</f>
        <v>249</v>
      </c>
      <c r="J28" s="8" t="s">
        <v>49</v>
      </c>
    </row>
    <row r="29" spans="1:10" ht="15.75" x14ac:dyDescent="0.25">
      <c r="A29" s="2">
        <v>28</v>
      </c>
      <c r="B29" s="3" t="s">
        <v>37</v>
      </c>
      <c r="C29" s="2">
        <f>'2021'!C29+'2022'!C29+'2023'!C29+'2024'!C29+'2025'!C29</f>
        <v>1065</v>
      </c>
      <c r="D29" s="2">
        <f>'2021'!D29+'2022'!D29+'2023'!D29+'2024'!D29+'2025'!D29</f>
        <v>640</v>
      </c>
      <c r="E29" s="2">
        <f>'2021'!E29+'2022'!E29+'2023'!E29+'2024'!E29+'2025'!E29</f>
        <v>1556</v>
      </c>
      <c r="F29" s="2">
        <f>'2021'!F29+'2022'!F29+'2023'!F29+'2024'!F29+'2025'!F29</f>
        <v>18</v>
      </c>
      <c r="G29" s="2">
        <f>'2021'!G29+'2022'!G29+'2023'!G29+'2024'!G29+'2025'!G29</f>
        <v>58</v>
      </c>
      <c r="H29" s="2">
        <f>'2021'!H29+'2022'!H29+'2023'!H29+'2024'!H29+'2025'!H29</f>
        <v>464</v>
      </c>
      <c r="I29" s="2">
        <f>'2021'!I29+'2022'!I29+'2023'!I29+'2024'!I29+'2025'!I29</f>
        <v>518</v>
      </c>
      <c r="J29" s="8" t="s">
        <v>49</v>
      </c>
    </row>
    <row r="30" spans="1:10" ht="15.75" x14ac:dyDescent="0.25">
      <c r="A30" s="2">
        <v>29</v>
      </c>
      <c r="B30" s="3" t="s">
        <v>38</v>
      </c>
      <c r="C30" s="2">
        <f>'2021'!C30+'2022'!C30+'2023'!C30+'2024'!C30+'2025'!C30</f>
        <v>889</v>
      </c>
      <c r="D30" s="2">
        <f>'2021'!D30+'2022'!D30+'2023'!D30+'2024'!D30+'2025'!D30</f>
        <v>315</v>
      </c>
      <c r="E30" s="2">
        <f>'2021'!E30+'2022'!E30+'2023'!E30+'2024'!E30+'2025'!E30</f>
        <v>989</v>
      </c>
      <c r="F30" s="2">
        <f>'2021'!F30+'2022'!F30+'2023'!F30+'2024'!F30+'2025'!F30</f>
        <v>13</v>
      </c>
      <c r="G30" s="2">
        <f>'2021'!G30+'2022'!G30+'2023'!G30+'2024'!G30+'2025'!G30</f>
        <v>7</v>
      </c>
      <c r="H30" s="2">
        <f>'2021'!H30+'2022'!H30+'2023'!H30+'2024'!H30+'2025'!H30</f>
        <v>124</v>
      </c>
      <c r="I30" s="2">
        <f>'2021'!I30+'2022'!I30+'2023'!I30+'2024'!I30+'2025'!I30</f>
        <v>143</v>
      </c>
      <c r="J30" s="8" t="s">
        <v>48</v>
      </c>
    </row>
    <row r="31" spans="1:10" ht="15.75" x14ac:dyDescent="0.25">
      <c r="A31" s="2">
        <v>30</v>
      </c>
      <c r="B31" s="3" t="s">
        <v>36</v>
      </c>
      <c r="C31" s="2">
        <f>'2021'!C31+'2022'!C31+'2023'!C31+'2024'!C31+'2025'!C31</f>
        <v>589</v>
      </c>
      <c r="D31" s="2">
        <f>'2021'!D31+'2022'!D31+'2023'!D31+'2024'!D31+'2025'!D31</f>
        <v>78</v>
      </c>
      <c r="E31" s="2">
        <f>'2021'!E31+'2022'!E31+'2023'!E31+'2024'!E31+'2025'!E31</f>
        <v>835</v>
      </c>
      <c r="F31" s="2">
        <f>'2021'!F31+'2022'!F31+'2023'!F31+'2024'!F31+'2025'!F31</f>
        <v>5</v>
      </c>
      <c r="G31" s="2">
        <f>'2021'!G31+'2022'!G31+'2023'!G31+'2024'!G31+'2025'!G31</f>
        <v>26</v>
      </c>
      <c r="H31" s="2">
        <f>'2021'!H31+'2022'!H31+'2023'!H31+'2024'!H31+'2025'!H31</f>
        <v>31</v>
      </c>
      <c r="I31" s="2">
        <f>'2021'!I31+'2022'!I31+'2023'!I31+'2024'!I31+'2025'!I31</f>
        <v>77</v>
      </c>
      <c r="J31" s="8" t="s">
        <v>48</v>
      </c>
    </row>
    <row r="32" spans="1:10" ht="15.75" x14ac:dyDescent="0.25">
      <c r="A32" s="2">
        <v>31</v>
      </c>
      <c r="B32" s="3" t="s">
        <v>40</v>
      </c>
      <c r="C32" s="2">
        <f>'2021'!C32+'2022'!C32+'2023'!C32+'2024'!C32+'2025'!C32</f>
        <v>690</v>
      </c>
      <c r="D32" s="2">
        <f>'2021'!D32+'2022'!D32+'2023'!D32+'2024'!D32+'2025'!D32</f>
        <v>515</v>
      </c>
      <c r="E32" s="2">
        <f>'2021'!E32+'2022'!E32+'2023'!E32+'2024'!E32+'2025'!E32</f>
        <v>788</v>
      </c>
      <c r="F32" s="2">
        <f>'2021'!F32+'2022'!F32+'2023'!F32+'2024'!F32+'2025'!F32</f>
        <v>15</v>
      </c>
      <c r="G32" s="2">
        <f>'2021'!G32+'2022'!G32+'2023'!G32+'2024'!G32+'2025'!G32</f>
        <v>61</v>
      </c>
      <c r="H32" s="2">
        <f>'2021'!H32+'2022'!H32+'2023'!H32+'2024'!H32+'2025'!H32</f>
        <v>199</v>
      </c>
      <c r="I32" s="2">
        <f>'2021'!I32+'2022'!I32+'2023'!I32+'2024'!I32+'2025'!I32</f>
        <v>111</v>
      </c>
      <c r="J32" s="8" t="s">
        <v>48</v>
      </c>
    </row>
    <row r="33" spans="1:10" ht="15.75" x14ac:dyDescent="0.25">
      <c r="A33" s="2">
        <v>32</v>
      </c>
      <c r="B33" s="3" t="s">
        <v>39</v>
      </c>
      <c r="C33" s="2">
        <f>'2021'!C33+'2022'!C33+'2023'!C33+'2024'!C33+'2025'!C33</f>
        <v>549</v>
      </c>
      <c r="D33" s="2">
        <f>'2021'!D33+'2022'!D33+'2023'!D33+'2024'!D33+'2025'!D33</f>
        <v>286</v>
      </c>
      <c r="E33" s="2">
        <f>'2021'!E33+'2022'!E33+'2023'!E33+'2024'!E33+'2025'!E33</f>
        <v>879</v>
      </c>
      <c r="F33" s="2">
        <f>'2021'!F33+'2022'!F33+'2023'!F33+'2024'!F33+'2025'!F33</f>
        <v>12</v>
      </c>
      <c r="G33" s="2">
        <f>'2021'!G33+'2022'!G33+'2023'!G33+'2024'!G33+'2025'!G33</f>
        <v>18</v>
      </c>
      <c r="H33" s="2">
        <f>'2021'!H33+'2022'!H33+'2023'!H33+'2024'!H33+'2025'!H33</f>
        <v>141</v>
      </c>
      <c r="I33" s="2">
        <f>'2021'!I33+'2022'!I33+'2023'!I33+'2024'!I33+'2025'!I33</f>
        <v>267</v>
      </c>
      <c r="J33" s="8" t="s">
        <v>48</v>
      </c>
    </row>
    <row r="34" spans="1:10" ht="15.75" x14ac:dyDescent="0.25">
      <c r="A34" s="2">
        <v>33</v>
      </c>
      <c r="B34" s="3" t="s">
        <v>41</v>
      </c>
      <c r="C34" s="2">
        <f>'2021'!C34+'2022'!C34+'2023'!C34+'2024'!C34+'2025'!C34</f>
        <v>347</v>
      </c>
      <c r="D34" s="2">
        <f>'2021'!D34+'2022'!D34+'2023'!D34+'2024'!D34+'2025'!D34</f>
        <v>542</v>
      </c>
      <c r="E34" s="2">
        <f>'2021'!E34+'2022'!E34+'2023'!E34+'2024'!E34+'2025'!E34</f>
        <v>292</v>
      </c>
      <c r="F34" s="2">
        <f>'2021'!F34+'2022'!F34+'2023'!F34+'2024'!F34+'2025'!F34</f>
        <v>1</v>
      </c>
      <c r="G34" s="2">
        <f>'2021'!G34+'2022'!G34+'2023'!G34+'2024'!G34+'2025'!G34</f>
        <v>12</v>
      </c>
      <c r="H34" s="2">
        <f>'2021'!H34+'2022'!H34+'2023'!H34+'2024'!H34+'2025'!H34</f>
        <v>181</v>
      </c>
      <c r="I34" s="2">
        <f>'2021'!I34+'2022'!I34+'2023'!I34+'2024'!I34+'2025'!I34</f>
        <v>166</v>
      </c>
      <c r="J34" s="8" t="s">
        <v>48</v>
      </c>
    </row>
    <row r="35" spans="1:10" ht="15.75" x14ac:dyDescent="0.25">
      <c r="A35" s="2">
        <v>34</v>
      </c>
      <c r="B35" s="3" t="s">
        <v>42</v>
      </c>
      <c r="C35" s="2">
        <f>'2021'!C35+'2022'!C35+'2023'!C35+'2024'!C35+'2025'!C35</f>
        <v>205</v>
      </c>
      <c r="D35" s="2">
        <f>'2021'!D35+'2022'!D35+'2023'!D35+'2024'!D35+'2025'!D35</f>
        <v>191</v>
      </c>
      <c r="E35" s="2">
        <f>'2021'!E35+'2022'!E35+'2023'!E35+'2024'!E35+'2025'!E35</f>
        <v>171</v>
      </c>
      <c r="F35" s="2">
        <f>'2021'!F35+'2022'!F35+'2023'!F35+'2024'!F35+'2025'!F35</f>
        <v>4</v>
      </c>
      <c r="G35" s="2">
        <f>'2021'!G35+'2022'!G35+'2023'!G35+'2024'!G35+'2025'!G35</f>
        <v>3</v>
      </c>
      <c r="H35" s="2">
        <f>'2021'!H35+'2022'!H35+'2023'!H35+'2024'!H35+'2025'!H35</f>
        <v>68</v>
      </c>
      <c r="I35" s="2">
        <f>'2021'!I35+'2022'!I35+'2023'!I35+'2024'!I35+'2025'!I35</f>
        <v>54</v>
      </c>
      <c r="J35" s="8" t="s">
        <v>48</v>
      </c>
    </row>
    <row r="36" spans="1:10" ht="15.75" x14ac:dyDescent="0.25">
      <c r="A36" s="2">
        <v>35</v>
      </c>
      <c r="B36" s="3" t="s">
        <v>43</v>
      </c>
      <c r="C36" s="2">
        <f>'2021'!C36+'2022'!C36+'2023'!C36+'2024'!C36+'2025'!C36</f>
        <v>58</v>
      </c>
      <c r="D36" s="2">
        <f>'2021'!D36+'2022'!D36+'2023'!D36+'2024'!D36+'2025'!D36</f>
        <v>64</v>
      </c>
      <c r="E36" s="2">
        <f>'2021'!E36+'2022'!E36+'2023'!E36+'2024'!E36+'2025'!E36</f>
        <v>117</v>
      </c>
      <c r="F36" s="2">
        <f>'2021'!F36+'2022'!F36+'2023'!F36+'2024'!F36+'2025'!F36</f>
        <v>3</v>
      </c>
      <c r="G36" s="2">
        <f>'2021'!G36+'2022'!G36+'2023'!G36+'2024'!G36+'2025'!G36</f>
        <v>5</v>
      </c>
      <c r="H36" s="2">
        <f>'2021'!H36+'2022'!H36+'2023'!H36+'2024'!H36+'2025'!H36</f>
        <v>36</v>
      </c>
      <c r="I36" s="2">
        <f>'2021'!I36+'2022'!I36+'2023'!I36+'2024'!I36+'2025'!I36</f>
        <v>75</v>
      </c>
      <c r="J36" s="8" t="s">
        <v>48</v>
      </c>
    </row>
    <row r="37" spans="1:10" ht="15.75" x14ac:dyDescent="0.25">
      <c r="A37" s="2">
        <v>36</v>
      </c>
      <c r="B37" s="3" t="s">
        <v>44</v>
      </c>
      <c r="C37" s="2">
        <f>'2021'!C37+'2022'!C37+'2023'!C37+'2024'!C37+'2025'!C37</f>
        <v>264</v>
      </c>
      <c r="D37" s="2">
        <f>'2021'!D37+'2022'!D37+'2023'!D37+'2024'!D37+'2025'!D37</f>
        <v>207</v>
      </c>
      <c r="E37" s="2">
        <f>'2021'!E37+'2022'!E37+'2023'!E37+'2024'!E37+'2025'!E37</f>
        <v>181</v>
      </c>
      <c r="F37" s="2">
        <f>'2021'!F37+'2022'!F37+'2023'!F37+'2024'!F37+'2025'!F37</f>
        <v>5</v>
      </c>
      <c r="G37" s="2">
        <f>'2021'!G37+'2022'!G37+'2023'!G37+'2024'!G37+'2025'!G37</f>
        <v>0</v>
      </c>
      <c r="H37" s="2">
        <f>'2021'!H37+'2022'!H37+'2023'!H37+'2024'!H37+'2025'!H37</f>
        <v>106</v>
      </c>
      <c r="I37" s="2">
        <f>'2021'!I37+'2022'!I37+'2023'!I37+'2024'!I37+'2025'!I37</f>
        <v>109</v>
      </c>
      <c r="J37" s="8" t="s">
        <v>48</v>
      </c>
    </row>
    <row r="38" spans="1:10" ht="15.75" x14ac:dyDescent="0.25">
      <c r="A38" s="2">
        <v>37</v>
      </c>
      <c r="B38" s="3" t="s">
        <v>45</v>
      </c>
      <c r="C38" s="2">
        <f>'2021'!C38+'2022'!C38+'2023'!C38+'2024'!C38+'2025'!C38</f>
        <v>161</v>
      </c>
      <c r="D38" s="2">
        <f>'2021'!D38+'2022'!D38+'2023'!D38+'2024'!D38+'2025'!D38</f>
        <v>82</v>
      </c>
      <c r="E38" s="2">
        <f>'2021'!E38+'2022'!E38+'2023'!E38+'2024'!E38+'2025'!E38</f>
        <v>7</v>
      </c>
      <c r="F38" s="2">
        <f>'2021'!F38+'2022'!F38+'2023'!F38+'2024'!F38+'2025'!F38</f>
        <v>0</v>
      </c>
      <c r="G38" s="2">
        <f>'2021'!G38+'2022'!G38+'2023'!G38+'2024'!G38+'2025'!G38</f>
        <v>0</v>
      </c>
      <c r="H38" s="2">
        <f>'2021'!H38+'2022'!H38+'2023'!H38+'2024'!H38+'2025'!H38</f>
        <v>1</v>
      </c>
      <c r="I38" s="2">
        <f>'2021'!I38+'2022'!I38+'2023'!I38+'2024'!I38+'2025'!I38</f>
        <v>8</v>
      </c>
      <c r="J38" s="8" t="s">
        <v>48</v>
      </c>
    </row>
    <row r="39" spans="1:10" ht="15.75" x14ac:dyDescent="0.25">
      <c r="A39" s="2">
        <v>38</v>
      </c>
      <c r="B39" s="3" t="s">
        <v>46</v>
      </c>
      <c r="C39" s="2">
        <f>'2021'!C39+'2022'!C39+'2023'!C39+'2024'!C39+'2025'!C39</f>
        <v>303</v>
      </c>
      <c r="D39" s="2">
        <f>'2021'!D39+'2022'!D39+'2023'!D39+'2024'!D39+'2025'!D39</f>
        <v>349</v>
      </c>
      <c r="E39" s="2">
        <f>'2021'!E39+'2022'!E39+'2023'!E39+'2024'!E39+'2025'!E39</f>
        <v>256</v>
      </c>
      <c r="F39" s="2">
        <f>'2021'!F39+'2022'!F39+'2023'!F39+'2024'!F39+'2025'!F39</f>
        <v>5</v>
      </c>
      <c r="G39" s="2">
        <f>'2021'!G39+'2022'!G39+'2023'!G39+'2024'!G39+'2025'!G39</f>
        <v>3</v>
      </c>
      <c r="H39" s="2">
        <f>'2021'!H39+'2022'!H39+'2023'!H39+'2024'!H39+'2025'!H39</f>
        <v>101</v>
      </c>
      <c r="I39" s="2">
        <f>'2021'!I39+'2022'!I39+'2023'!I39+'2024'!I39+'2025'!I39</f>
        <v>54</v>
      </c>
      <c r="J39" s="8" t="s">
        <v>48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Integrasi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Sitorus</dc:creator>
  <cp:lastModifiedBy>Regina Sitorus</cp:lastModifiedBy>
  <dcterms:created xsi:type="dcterms:W3CDTF">2026-05-12T12:01:42Z</dcterms:created>
  <dcterms:modified xsi:type="dcterms:W3CDTF">2026-06-02T18:49:06Z</dcterms:modified>
</cp:coreProperties>
</file>